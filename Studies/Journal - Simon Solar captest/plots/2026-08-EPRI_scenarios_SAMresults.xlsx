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mirletz\source\repos\pv_repowering\Studies\Journal - Simon Solar captest\plots\"/>
    </mc:Choice>
  </mc:AlternateContent>
  <xr:revisionPtr revIDLastSave="0" documentId="8_{AC5D0517-967D-4494-9AAB-F7152701CF12}" xr6:coauthVersionLast="47" xr6:coauthVersionMax="47" xr10:uidLastSave="{00000000-0000-0000-0000-000000000000}"/>
  <bookViews>
    <workbookView xWindow="-108" yWindow="-108" windowWidth="23256" windowHeight="12456" xr2:uid="{04F1D575-AB74-4BA9-9193-B5993F01A15B}"/>
  </bookViews>
  <sheets>
    <sheet name="Simo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2" l="1"/>
  <c r="X5" i="2" s="1"/>
  <c r="X6" i="2" s="1"/>
  <c r="X7" i="2" s="1"/>
  <c r="X8" i="2" s="1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3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R24" i="2"/>
  <c r="T24" i="2"/>
  <c r="U24" i="2"/>
  <c r="R25" i="2"/>
  <c r="T25" i="2"/>
  <c r="U25" i="2"/>
  <c r="R26" i="2"/>
  <c r="T26" i="2"/>
  <c r="U26" i="2"/>
  <c r="R27" i="2"/>
  <c r="T27" i="2"/>
  <c r="U27" i="2"/>
  <c r="R28" i="2"/>
  <c r="T28" i="2"/>
  <c r="U28" i="2"/>
  <c r="M4" i="2"/>
  <c r="O4" i="2"/>
  <c r="P4" i="2"/>
  <c r="R4" i="2"/>
  <c r="T4" i="2"/>
  <c r="U4" i="2"/>
  <c r="M5" i="2"/>
  <c r="O5" i="2"/>
  <c r="P5" i="2"/>
  <c r="R5" i="2"/>
  <c r="T5" i="2"/>
  <c r="U5" i="2"/>
  <c r="M6" i="2"/>
  <c r="O6" i="2"/>
  <c r="P6" i="2"/>
  <c r="R6" i="2"/>
  <c r="T6" i="2"/>
  <c r="U6" i="2"/>
  <c r="M7" i="2"/>
  <c r="O7" i="2"/>
  <c r="P7" i="2"/>
  <c r="R7" i="2"/>
  <c r="T7" i="2"/>
  <c r="U7" i="2"/>
  <c r="M8" i="2"/>
  <c r="O8" i="2"/>
  <c r="P8" i="2"/>
  <c r="R8" i="2"/>
  <c r="T8" i="2"/>
  <c r="U8" i="2"/>
  <c r="M9" i="2"/>
  <c r="O9" i="2"/>
  <c r="P9" i="2"/>
  <c r="R9" i="2"/>
  <c r="T9" i="2"/>
  <c r="U9" i="2"/>
  <c r="M10" i="2"/>
  <c r="O10" i="2"/>
  <c r="P10" i="2"/>
  <c r="R10" i="2"/>
  <c r="T10" i="2"/>
  <c r="U10" i="2"/>
  <c r="M11" i="2"/>
  <c r="O11" i="2"/>
  <c r="P11" i="2"/>
  <c r="R11" i="2"/>
  <c r="T11" i="2"/>
  <c r="U11" i="2"/>
  <c r="M12" i="2"/>
  <c r="O12" i="2"/>
  <c r="P12" i="2"/>
  <c r="R12" i="2"/>
  <c r="T12" i="2"/>
  <c r="U12" i="2"/>
  <c r="M13" i="2"/>
  <c r="O13" i="2"/>
  <c r="P13" i="2"/>
  <c r="R13" i="2"/>
  <c r="T13" i="2"/>
  <c r="U13" i="2"/>
  <c r="M14" i="2"/>
  <c r="O14" i="2"/>
  <c r="P14" i="2"/>
  <c r="R14" i="2"/>
  <c r="T14" i="2"/>
  <c r="U14" i="2"/>
  <c r="M15" i="2"/>
  <c r="O15" i="2"/>
  <c r="P15" i="2"/>
  <c r="R15" i="2"/>
  <c r="T15" i="2"/>
  <c r="U15" i="2"/>
  <c r="M16" i="2"/>
  <c r="O16" i="2"/>
  <c r="P16" i="2"/>
  <c r="R16" i="2"/>
  <c r="T16" i="2"/>
  <c r="U16" i="2"/>
  <c r="M17" i="2"/>
  <c r="O17" i="2"/>
  <c r="P17" i="2"/>
  <c r="R17" i="2"/>
  <c r="T17" i="2"/>
  <c r="U17" i="2"/>
  <c r="M18" i="2"/>
  <c r="O18" i="2"/>
  <c r="P18" i="2"/>
  <c r="R18" i="2"/>
  <c r="T18" i="2"/>
  <c r="U18" i="2"/>
  <c r="M19" i="2"/>
  <c r="O19" i="2"/>
  <c r="P19" i="2"/>
  <c r="R19" i="2"/>
  <c r="T19" i="2"/>
  <c r="U19" i="2"/>
  <c r="M20" i="2"/>
  <c r="O20" i="2"/>
  <c r="P20" i="2"/>
  <c r="R20" i="2"/>
  <c r="T20" i="2"/>
  <c r="U20" i="2"/>
  <c r="M21" i="2"/>
  <c r="O21" i="2"/>
  <c r="P21" i="2"/>
  <c r="R21" i="2"/>
  <c r="T21" i="2"/>
  <c r="U21" i="2"/>
  <c r="M22" i="2"/>
  <c r="O22" i="2"/>
  <c r="P22" i="2"/>
  <c r="R22" i="2"/>
  <c r="T22" i="2"/>
  <c r="U22" i="2"/>
  <c r="M23" i="2"/>
  <c r="O23" i="2"/>
  <c r="P23" i="2"/>
  <c r="R23" i="2"/>
  <c r="T23" i="2"/>
  <c r="U23" i="2"/>
  <c r="M24" i="2"/>
  <c r="O24" i="2"/>
  <c r="P24" i="2"/>
  <c r="M25" i="2"/>
  <c r="O25" i="2"/>
  <c r="P25" i="2"/>
  <c r="M26" i="2"/>
  <c r="O26" i="2"/>
  <c r="P26" i="2"/>
  <c r="M27" i="2"/>
  <c r="O27" i="2"/>
  <c r="P27" i="2"/>
  <c r="M28" i="2"/>
  <c r="O28" i="2"/>
  <c r="P28" i="2"/>
  <c r="O3" i="2"/>
  <c r="Y3" i="2" s="1"/>
  <c r="P3" i="2"/>
  <c r="Z3" i="2" s="1"/>
  <c r="R3" i="2"/>
  <c r="T3" i="2"/>
  <c r="U3" i="2"/>
  <c r="M3" i="2"/>
  <c r="W3" i="2" s="1"/>
  <c r="W4" i="2" s="1"/>
  <c r="Z4" i="2" l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Y4" i="2"/>
  <c r="Y5" i="2" s="1"/>
  <c r="Y6" i="2" s="1"/>
  <c r="Y7" i="2" s="1"/>
  <c r="Y8" i="2" s="1"/>
  <c r="Y9" i="2" s="1"/>
  <c r="Y10" i="2" s="1"/>
  <c r="Y11" i="2" s="1"/>
  <c r="Y12" i="2" s="1"/>
  <c r="Y13" i="2" s="1"/>
  <c r="Y14" i="2" s="1"/>
  <c r="Y15" i="2" s="1"/>
  <c r="Y16" i="2" s="1"/>
  <c r="Y17" i="2" s="1"/>
  <c r="Y18" i="2" s="1"/>
  <c r="Y19" i="2" s="1"/>
  <c r="Y20" i="2" s="1"/>
  <c r="Y21" i="2" s="1"/>
  <c r="Y22" i="2" s="1"/>
  <c r="Y23" i="2" s="1"/>
  <c r="W5" i="2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</calcChain>
</file>

<file path=xl/sharedStrings.xml><?xml version="1.0" encoding="utf-8"?>
<sst xmlns="http://schemas.openxmlformats.org/spreadsheetml/2006/main" count="27" uniqueCount="11">
  <si>
    <t>Year</t>
  </si>
  <si>
    <t>After Tax Cashflow</t>
  </si>
  <si>
    <t>Baseline</t>
  </si>
  <si>
    <t>Decommissioning</t>
  </si>
  <si>
    <t>Repowering</t>
  </si>
  <si>
    <t>After Tax NPV</t>
  </si>
  <si>
    <t>Do Nothing</t>
  </si>
  <si>
    <t>Decommission</t>
  </si>
  <si>
    <t>Repower</t>
  </si>
  <si>
    <t>Payback time</t>
  </si>
  <si>
    <t>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</si>
</sst>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Cashflow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886167843477394"/>
          <c:y val="0.17171296296296296"/>
          <c:w val="0.80621175365127551"/>
          <c:h val="0.67145778652668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Simon!$M$2</c:f>
              <c:strCache>
                <c:ptCount val="1"/>
                <c:pt idx="0">
                  <c:v>Do Nothing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Simon!$M$3:$M$26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-1.2334099999999999</c:v>
                </c:pt>
                <c:pt idx="12">
                  <c:v>-0.13131699999999999</c:v>
                </c:pt>
                <c:pt idx="13">
                  <c:v>1.0237400000000001</c:v>
                </c:pt>
                <c:pt idx="14">
                  <c:v>0.94887999999999995</c:v>
                </c:pt>
                <c:pt idx="15">
                  <c:v>0.87232799999999999</c:v>
                </c:pt>
                <c:pt idx="16">
                  <c:v>0.78347199999999995</c:v>
                </c:pt>
                <c:pt idx="17">
                  <c:v>0.692828</c:v>
                </c:pt>
                <c:pt idx="18">
                  <c:v>0.61077599999999999</c:v>
                </c:pt>
                <c:pt idx="19">
                  <c:v>0.52683800000000003</c:v>
                </c:pt>
                <c:pt idx="20">
                  <c:v>0.44098100000000001</c:v>
                </c:pt>
                <c:pt idx="21">
                  <c:v>0.34702499999999997</c:v>
                </c:pt>
                <c:pt idx="22">
                  <c:v>0.251081</c:v>
                </c:pt>
                <c:pt idx="23">
                  <c:v>0.15926199999999999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6B-4E3C-B3EC-E29BD5A3492C}"/>
            </c:ext>
          </c:extLst>
        </c:ser>
        <c:ser>
          <c:idx val="2"/>
          <c:order val="1"/>
          <c:tx>
            <c:strRef>
              <c:f>Simon!$O$2</c:f>
              <c:strCache>
                <c:ptCount val="1"/>
                <c:pt idx="0">
                  <c:v>Decommission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Simon!$O$3:$O$26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-4.3150899999999996</c:v>
                </c:pt>
                <c:pt idx="12">
                  <c:v>-1.0450600000000001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6B-4E3C-B3EC-E29BD5A3492C}"/>
            </c:ext>
          </c:extLst>
        </c:ser>
        <c:ser>
          <c:idx val="3"/>
          <c:order val="2"/>
          <c:tx>
            <c:strRef>
              <c:f>Simon!$P$2</c:f>
              <c:strCache>
                <c:ptCount val="1"/>
                <c:pt idx="0">
                  <c:v>Repower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Simon!$P$3:$P$26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-28.510200000000001</c:v>
                </c:pt>
                <c:pt idx="12">
                  <c:v>-12.5844</c:v>
                </c:pt>
                <c:pt idx="13">
                  <c:v>2.7426200000000001</c:v>
                </c:pt>
                <c:pt idx="14">
                  <c:v>2.7341600000000001</c:v>
                </c:pt>
                <c:pt idx="15">
                  <c:v>2.7251500000000002</c:v>
                </c:pt>
                <c:pt idx="16">
                  <c:v>2.7049799999999999</c:v>
                </c:pt>
                <c:pt idx="17">
                  <c:v>2.6842199999999998</c:v>
                </c:pt>
                <c:pt idx="18">
                  <c:v>2.6732499999999999</c:v>
                </c:pt>
                <c:pt idx="19">
                  <c:v>2.6616</c:v>
                </c:pt>
                <c:pt idx="20">
                  <c:v>2.6492599999999999</c:v>
                </c:pt>
                <c:pt idx="21">
                  <c:v>2.63008</c:v>
                </c:pt>
                <c:pt idx="22">
                  <c:v>2.6101700000000001</c:v>
                </c:pt>
                <c:pt idx="23">
                  <c:v>2.5956800000000002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A0-4557-8A55-C25961E7B952}"/>
            </c:ext>
          </c:extLst>
        </c:ser>
        <c:ser>
          <c:idx val="1"/>
          <c:order val="3"/>
          <c:tx>
            <c:strRef>
              <c:f>Simon!$N$2</c:f>
              <c:strCache>
                <c:ptCount val="1"/>
                <c:pt idx="0">
                  <c:v>Repair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Simon!$N$3:$N$26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-1.2334099999999999</c:v>
                </c:pt>
                <c:pt idx="12">
                  <c:v>-0.13131699999999999</c:v>
                </c:pt>
                <c:pt idx="13">
                  <c:v>1.86574</c:v>
                </c:pt>
                <c:pt idx="14">
                  <c:v>1.7992699999999999</c:v>
                </c:pt>
                <c:pt idx="15">
                  <c:v>1.7311799999999999</c:v>
                </c:pt>
                <c:pt idx="16">
                  <c:v>1.6508799999999999</c:v>
                </c:pt>
                <c:pt idx="17">
                  <c:v>1.56887</c:v>
                </c:pt>
                <c:pt idx="18">
                  <c:v>1.4955400000000001</c:v>
                </c:pt>
                <c:pt idx="19">
                  <c:v>1.4204000000000001</c:v>
                </c:pt>
                <c:pt idx="20">
                  <c:v>1.34344</c:v>
                </c:pt>
                <c:pt idx="21">
                  <c:v>1.2584599999999999</c:v>
                </c:pt>
                <c:pt idx="22">
                  <c:v>1.1715800000000001</c:v>
                </c:pt>
                <c:pt idx="23">
                  <c:v>1.08891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6B-4E3C-B3EC-E29BD5A34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7552936"/>
        <c:axId val="937551856"/>
      </c:barChart>
      <c:catAx>
        <c:axId val="937552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551856"/>
        <c:crosses val="autoZero"/>
        <c:auto val="1"/>
        <c:lblAlgn val="ctr"/>
        <c:lblOffset val="100"/>
        <c:noMultiLvlLbl val="0"/>
      </c:catAx>
      <c:valAx>
        <c:axId val="93755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55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9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920" b="0" i="0" u="none" strike="noStrike" kern="1200" spc="0" baseline="0">
                <a:solidFill>
                  <a:sysClr val="windowText" lastClr="000000"/>
                </a:solidFill>
              </a:rPr>
              <a:t>Cumulative Net Present Value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9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81809163618331"/>
          <c:y val="0.20098977073753074"/>
          <c:w val="0.80308479550292422"/>
          <c:h val="0.60270547615703174"/>
        </c:manualLayout>
      </c:layout>
      <c:lineChart>
        <c:grouping val="standard"/>
        <c:varyColors val="0"/>
        <c:ser>
          <c:idx val="0"/>
          <c:order val="0"/>
          <c:tx>
            <c:strRef>
              <c:f>Simon!$R$2</c:f>
              <c:strCache>
                <c:ptCount val="1"/>
                <c:pt idx="0">
                  <c:v>Do Nothing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Simon!$R$3:$R$28</c:f>
              <c:numCache>
                <c:formatCode>0.00</c:formatCode>
                <c:ptCount val="26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-2.6440000000000001</c:v>
                </c:pt>
                <c:pt idx="12">
                  <c:v>-2.6903800000000002</c:v>
                </c:pt>
                <c:pt idx="13">
                  <c:v>-2.3588399999999998</c:v>
                </c:pt>
                <c:pt idx="14">
                  <c:v>-2.07707</c:v>
                </c:pt>
                <c:pt idx="15">
                  <c:v>-1.83955</c:v>
                </c:pt>
                <c:pt idx="16">
                  <c:v>-1.64394</c:v>
                </c:pt>
                <c:pt idx="17">
                  <c:v>-1.4853400000000001</c:v>
                </c:pt>
                <c:pt idx="18">
                  <c:v>-1.35714</c:v>
                </c:pt>
                <c:pt idx="19">
                  <c:v>-1.2557400000000001</c:v>
                </c:pt>
                <c:pt idx="20">
                  <c:v>-1.17791</c:v>
                </c:pt>
                <c:pt idx="21">
                  <c:v>-1.1217600000000001</c:v>
                </c:pt>
                <c:pt idx="22">
                  <c:v>-1.0845100000000001</c:v>
                </c:pt>
                <c:pt idx="23">
                  <c:v>-1.06284</c:v>
                </c:pt>
                <c:pt idx="24">
                  <c:v>-1.0546800000000001</c:v>
                </c:pt>
                <c:pt idx="25">
                  <c:v>-0.98041699999999998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05-4E08-808D-68AF4449679B}"/>
            </c:ext>
          </c:extLst>
        </c:ser>
        <c:ser>
          <c:idx val="1"/>
          <c:order val="1"/>
          <c:tx>
            <c:strRef>
              <c:f>Simon!$T$2</c:f>
              <c:strCache>
                <c:ptCount val="1"/>
                <c:pt idx="0">
                  <c:v>Decommission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Simon!$T$3:$T$15</c:f>
              <c:numCache>
                <c:formatCode>0.00</c:formatCode>
                <c:ptCount val="13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-3.8310399999999998</c:v>
                </c:pt>
                <c:pt idx="12">
                  <c:v>-4.2001499999999998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05-4E08-808D-68AF4449679B}"/>
            </c:ext>
          </c:extLst>
        </c:ser>
        <c:ser>
          <c:idx val="2"/>
          <c:order val="2"/>
          <c:tx>
            <c:strRef>
              <c:f>Simon!$U$2</c:f>
              <c:strCache>
                <c:ptCount val="1"/>
                <c:pt idx="0">
                  <c:v>Repower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Simon!$U$3:$U$28</c:f>
              <c:numCache>
                <c:formatCode>0.00</c:formatCode>
                <c:ptCount val="26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-13.1509</c:v>
                </c:pt>
                <c:pt idx="12">
                  <c:v>-17.595600000000001</c:v>
                </c:pt>
                <c:pt idx="13">
                  <c:v>-16.7074</c:v>
                </c:pt>
                <c:pt idx="14">
                  <c:v>-15.8955</c:v>
                </c:pt>
                <c:pt idx="15">
                  <c:v>-15.153499999999999</c:v>
                </c:pt>
                <c:pt idx="16">
                  <c:v>-14.4781</c:v>
                </c:pt>
                <c:pt idx="17">
                  <c:v>-13.8637</c:v>
                </c:pt>
                <c:pt idx="18">
                  <c:v>-13.3025</c:v>
                </c:pt>
                <c:pt idx="19">
                  <c:v>-12.7903</c:v>
                </c:pt>
                <c:pt idx="20">
                  <c:v>-12.322699999999999</c:v>
                </c:pt>
                <c:pt idx="21">
                  <c:v>-11.8971</c:v>
                </c:pt>
                <c:pt idx="22">
                  <c:v>-11.5099</c:v>
                </c:pt>
                <c:pt idx="23">
                  <c:v>-11.156700000000001</c:v>
                </c:pt>
                <c:pt idx="24">
                  <c:v>-10.8348</c:v>
                </c:pt>
                <c:pt idx="25">
                  <c:v>-10.463699999999999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05-4E08-808D-68AF4449679B}"/>
            </c:ext>
          </c:extLst>
        </c:ser>
        <c:ser>
          <c:idx val="3"/>
          <c:order val="3"/>
          <c:tx>
            <c:strRef>
              <c:f>Simon!$S$2</c:f>
              <c:strCache>
                <c:ptCount val="1"/>
                <c:pt idx="0">
                  <c:v>Repair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Simon!$S$3:$S$28</c:f>
              <c:numCache>
                <c:formatCode>0.00</c:formatCode>
                <c:ptCount val="26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-2.6440000000000001</c:v>
                </c:pt>
                <c:pt idx="12">
                  <c:v>-2.6903800000000002</c:v>
                </c:pt>
                <c:pt idx="13">
                  <c:v>-2.0861499999999999</c:v>
                </c:pt>
                <c:pt idx="14">
                  <c:v>-1.55186</c:v>
                </c:pt>
                <c:pt idx="15">
                  <c:v>-1.08049</c:v>
                </c:pt>
                <c:pt idx="16">
                  <c:v>-0.66833299999999995</c:v>
                </c:pt>
                <c:pt idx="17">
                  <c:v>-0.30918499999999999</c:v>
                </c:pt>
                <c:pt idx="18">
                  <c:v>4.7341499999999995E-3</c:v>
                </c:pt>
                <c:pt idx="19">
                  <c:v>0.278115</c:v>
                </c:pt>
                <c:pt idx="20">
                  <c:v>0.51520200000000005</c:v>
                </c:pt>
                <c:pt idx="21">
                  <c:v>0.71884300000000001</c:v>
                </c:pt>
                <c:pt idx="22">
                  <c:v>0.89267600000000003</c:v>
                </c:pt>
                <c:pt idx="23">
                  <c:v>1.0408200000000001</c:v>
                </c:pt>
                <c:pt idx="24">
                  <c:v>1.1660999999999999</c:v>
                </c:pt>
                <c:pt idx="25">
                  <c:v>1.3488199999999999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1F-4A97-A6B3-4E0A0564C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4469128"/>
        <c:axId val="924467688"/>
      </c:lineChart>
      <c:catAx>
        <c:axId val="924469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467688"/>
        <c:crosses val="autoZero"/>
        <c:auto val="1"/>
        <c:lblAlgn val="ctr"/>
        <c:lblOffset val="100"/>
        <c:noMultiLvlLbl val="0"/>
      </c:catAx>
      <c:valAx>
        <c:axId val="924467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46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6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130176</xdr:colOff>
      <xdr:row>0</xdr:row>
      <xdr:rowOff>152400</xdr:rowOff>
    </xdr:from>
    <xdr:to>
      <xdr:col>36</xdr:col>
      <xdr:colOff>161925</xdr:colOff>
      <xdr:row>20</xdr:row>
      <xdr:rowOff>96837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DD57BB-6C2E-4DA6-8155-471EFD57C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194309</xdr:colOff>
      <xdr:row>20</xdr:row>
      <xdr:rowOff>131761</xdr:rowOff>
    </xdr:from>
    <xdr:to>
      <xdr:col>36</xdr:col>
      <xdr:colOff>149859</xdr:colOff>
      <xdr:row>37</xdr:row>
      <xdr:rowOff>38099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D521F3-F9BF-33E6-E8B0-EA4E4F1261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F2B7E-C15E-4BE7-BAE2-4B1EBEE71C1F}">
  <dimension ref="A1:Z28"/>
  <sheetViews>
    <sheetView tabSelected="1" topLeftCell="S16" workbookViewId="0">
      <selection activeCell="AK34" sqref="AK34"/>
    </sheetView>
  </sheetViews>
  <sheetFormatPr defaultRowHeight="14.4" x14ac:dyDescent="0.3"/>
  <cols>
    <col min="1" max="1" width="4.6640625" bestFit="1" customWidth="1"/>
    <col min="6" max="6" width="4.77734375" customWidth="1"/>
    <col min="7" max="8" width="13" customWidth="1"/>
    <col min="12" max="12" width="4.6640625" bestFit="1" customWidth="1"/>
    <col min="13" max="13" width="9" bestFit="1" customWidth="1"/>
    <col min="14" max="14" width="9" customWidth="1"/>
    <col min="17" max="17" width="3.21875" customWidth="1"/>
    <col min="22" max="22" width="2.77734375" customWidth="1"/>
  </cols>
  <sheetData>
    <row r="1" spans="1:26" x14ac:dyDescent="0.3">
      <c r="B1" t="s">
        <v>1</v>
      </c>
      <c r="G1" t="s">
        <v>5</v>
      </c>
      <c r="M1" t="s">
        <v>1</v>
      </c>
      <c r="R1" t="s">
        <v>5</v>
      </c>
      <c r="W1" t="s">
        <v>9</v>
      </c>
    </row>
    <row r="2" spans="1:26" x14ac:dyDescent="0.3">
      <c r="A2" t="s">
        <v>0</v>
      </c>
      <c r="B2" t="s">
        <v>2</v>
      </c>
      <c r="C2" t="s">
        <v>10</v>
      </c>
      <c r="D2" t="s">
        <v>3</v>
      </c>
      <c r="E2" t="s">
        <v>4</v>
      </c>
      <c r="G2" t="s">
        <v>2</v>
      </c>
      <c r="H2" t="s">
        <v>10</v>
      </c>
      <c r="I2" t="s">
        <v>3</v>
      </c>
      <c r="J2" t="s">
        <v>4</v>
      </c>
      <c r="L2" t="s">
        <v>0</v>
      </c>
      <c r="M2" t="s">
        <v>6</v>
      </c>
      <c r="N2" t="s">
        <v>10</v>
      </c>
      <c r="O2" t="s">
        <v>7</v>
      </c>
      <c r="P2" t="s">
        <v>8</v>
      </c>
      <c r="R2" t="s">
        <v>6</v>
      </c>
      <c r="S2" t="s">
        <v>10</v>
      </c>
      <c r="T2" t="s">
        <v>7</v>
      </c>
      <c r="U2" t="s">
        <v>8</v>
      </c>
      <c r="W2" t="s">
        <v>6</v>
      </c>
      <c r="X2" t="s">
        <v>10</v>
      </c>
      <c r="Y2" t="s">
        <v>7</v>
      </c>
      <c r="Z2" t="s">
        <v>8</v>
      </c>
    </row>
    <row r="3" spans="1:26" x14ac:dyDescent="0.3">
      <c r="A3">
        <v>0</v>
      </c>
      <c r="B3" s="1">
        <v>-13557300</v>
      </c>
      <c r="C3" s="1">
        <v>-13557300</v>
      </c>
      <c r="D3" s="1">
        <v>-13557300</v>
      </c>
      <c r="E3" s="1">
        <v>-13557300</v>
      </c>
      <c r="G3" s="1">
        <v>-13557300</v>
      </c>
      <c r="H3" s="1">
        <v>-13557300</v>
      </c>
      <c r="I3" s="1">
        <v>-13557300</v>
      </c>
      <c r="J3" s="1">
        <v>-13557300</v>
      </c>
      <c r="L3">
        <v>0</v>
      </c>
      <c r="M3" s="2">
        <f>B3/1000000</f>
        <v>-13.5573</v>
      </c>
      <c r="N3" s="2">
        <f>C3/1000000</f>
        <v>-13.5573</v>
      </c>
      <c r="O3" s="2">
        <f>D3/1000000</f>
        <v>-13.5573</v>
      </c>
      <c r="P3" s="2">
        <f>E3/1000000</f>
        <v>-13.5573</v>
      </c>
      <c r="Q3" s="2"/>
      <c r="R3" s="2">
        <f>G3/1000000</f>
        <v>-13.5573</v>
      </c>
      <c r="S3" s="2">
        <f>H3/1000000</f>
        <v>-13.5573</v>
      </c>
      <c r="T3" s="2">
        <f>I3/1000000</f>
        <v>-13.5573</v>
      </c>
      <c r="U3" s="2">
        <f>J3/1000000</f>
        <v>-13.5573</v>
      </c>
      <c r="W3" s="3">
        <f>M3</f>
        <v>-13.5573</v>
      </c>
      <c r="X3" s="3">
        <f>N3</f>
        <v>-13.5573</v>
      </c>
      <c r="Y3" s="3">
        <f>O3</f>
        <v>-13.5573</v>
      </c>
      <c r="Z3" s="3">
        <f>P3</f>
        <v>-13.5573</v>
      </c>
    </row>
    <row r="4" spans="1:26" x14ac:dyDescent="0.3">
      <c r="A4">
        <v>1</v>
      </c>
      <c r="B4" s="1">
        <v>9961670</v>
      </c>
      <c r="C4" s="1">
        <v>9961670</v>
      </c>
      <c r="D4" s="1">
        <v>9961670</v>
      </c>
      <c r="E4" s="1">
        <v>9961670</v>
      </c>
      <c r="G4" s="1">
        <v>-4423200</v>
      </c>
      <c r="H4" s="1">
        <v>-4423200</v>
      </c>
      <c r="I4" s="1">
        <v>-4423200</v>
      </c>
      <c r="J4" s="1">
        <v>-4423200</v>
      </c>
      <c r="L4">
        <v>1</v>
      </c>
      <c r="M4" s="2">
        <f t="shared" ref="M4:N28" si="0">B4/1000000</f>
        <v>9.9616699999999998</v>
      </c>
      <c r="N4" s="2">
        <f t="shared" si="0"/>
        <v>9.9616699999999998</v>
      </c>
      <c r="O4" s="2">
        <f t="shared" ref="O4:O28" si="1">D4/1000000</f>
        <v>9.9616699999999998</v>
      </c>
      <c r="P4" s="2">
        <f t="shared" ref="P4:P28" si="2">E4/1000000</f>
        <v>9.9616699999999998</v>
      </c>
      <c r="Q4" s="2"/>
      <c r="R4" s="2">
        <f t="shared" ref="R4:S28" si="3">G4/1000000</f>
        <v>-4.4231999999999996</v>
      </c>
      <c r="S4" s="2">
        <f t="shared" si="3"/>
        <v>-4.4231999999999996</v>
      </c>
      <c r="T4" s="2">
        <f t="shared" ref="T4:T28" si="4">I4/1000000</f>
        <v>-4.4231999999999996</v>
      </c>
      <c r="U4" s="2">
        <f t="shared" ref="U4:U28" si="5">J4/1000000</f>
        <v>-4.4231999999999996</v>
      </c>
      <c r="W4" s="3">
        <f>W3+M4</f>
        <v>-3.5956299999999999</v>
      </c>
      <c r="X4" s="3">
        <f>X3+N4</f>
        <v>-3.5956299999999999</v>
      </c>
      <c r="Y4" s="3">
        <f>Y3+O4</f>
        <v>-3.5956299999999999</v>
      </c>
      <c r="Z4" s="3">
        <f>Z3+P4</f>
        <v>-3.5956299999999999</v>
      </c>
    </row>
    <row r="5" spans="1:26" x14ac:dyDescent="0.3">
      <c r="A5">
        <v>2</v>
      </c>
      <c r="B5" s="1">
        <v>2253980</v>
      </c>
      <c r="C5" s="1">
        <v>2253980</v>
      </c>
      <c r="D5" s="1">
        <v>2253980</v>
      </c>
      <c r="E5" s="1">
        <v>2253980</v>
      </c>
      <c r="G5" s="1">
        <v>-2528160</v>
      </c>
      <c r="H5" s="1">
        <v>-2528160</v>
      </c>
      <c r="I5" s="1">
        <v>-2528160</v>
      </c>
      <c r="J5" s="1">
        <v>-2528160</v>
      </c>
      <c r="L5">
        <v>2</v>
      </c>
      <c r="M5" s="2">
        <f t="shared" si="0"/>
        <v>2.2539799999999999</v>
      </c>
      <c r="N5" s="2">
        <f t="shared" si="0"/>
        <v>2.2539799999999999</v>
      </c>
      <c r="O5" s="2">
        <f t="shared" si="1"/>
        <v>2.2539799999999999</v>
      </c>
      <c r="P5" s="2">
        <f t="shared" si="2"/>
        <v>2.2539799999999999</v>
      </c>
      <c r="Q5" s="2"/>
      <c r="R5" s="2">
        <f t="shared" si="3"/>
        <v>-2.5281600000000002</v>
      </c>
      <c r="S5" s="2">
        <f t="shared" si="3"/>
        <v>-2.5281600000000002</v>
      </c>
      <c r="T5" s="2">
        <f t="shared" si="4"/>
        <v>-2.5281600000000002</v>
      </c>
      <c r="U5" s="2">
        <f t="shared" si="5"/>
        <v>-2.5281600000000002</v>
      </c>
      <c r="W5" s="3">
        <f t="shared" ref="W5:X14" si="6">W4+M5</f>
        <v>-1.34165</v>
      </c>
      <c r="X5" s="3">
        <f t="shared" si="6"/>
        <v>-1.34165</v>
      </c>
      <c r="Y5" s="3">
        <f>Y4+O5</f>
        <v>-1.34165</v>
      </c>
      <c r="Z5" s="3">
        <f>Z4+P5</f>
        <v>-1.34165</v>
      </c>
    </row>
    <row r="6" spans="1:26" x14ac:dyDescent="0.3">
      <c r="A6">
        <v>3</v>
      </c>
      <c r="B6" s="1">
        <v>1306930</v>
      </c>
      <c r="C6" s="1">
        <v>1306930</v>
      </c>
      <c r="D6" s="1">
        <v>1306930</v>
      </c>
      <c r="E6" s="1">
        <v>1306930</v>
      </c>
      <c r="G6" s="1">
        <v>-1520630</v>
      </c>
      <c r="H6" s="1">
        <v>-1520630</v>
      </c>
      <c r="I6" s="1">
        <v>-1520630</v>
      </c>
      <c r="J6" s="1">
        <v>-1520630</v>
      </c>
      <c r="L6">
        <v>3</v>
      </c>
      <c r="M6" s="2">
        <f t="shared" si="0"/>
        <v>1.3069299999999999</v>
      </c>
      <c r="N6" s="2">
        <f t="shared" si="0"/>
        <v>1.3069299999999999</v>
      </c>
      <c r="O6" s="2">
        <f t="shared" si="1"/>
        <v>1.3069299999999999</v>
      </c>
      <c r="P6" s="2">
        <f t="shared" si="2"/>
        <v>1.3069299999999999</v>
      </c>
      <c r="Q6" s="2"/>
      <c r="R6" s="2">
        <f t="shared" si="3"/>
        <v>-1.5206299999999999</v>
      </c>
      <c r="S6" s="2">
        <f t="shared" si="3"/>
        <v>-1.5206299999999999</v>
      </c>
      <c r="T6" s="2">
        <f t="shared" si="4"/>
        <v>-1.5206299999999999</v>
      </c>
      <c r="U6" s="2">
        <f t="shared" si="5"/>
        <v>-1.5206299999999999</v>
      </c>
      <c r="W6" s="3">
        <f t="shared" si="6"/>
        <v>-3.4720000000000084E-2</v>
      </c>
      <c r="X6" s="3">
        <f t="shared" si="6"/>
        <v>-3.4720000000000084E-2</v>
      </c>
      <c r="Y6" s="3">
        <f>Y5+O6</f>
        <v>-3.4720000000000084E-2</v>
      </c>
      <c r="Z6" s="3">
        <f>Z5+P6</f>
        <v>-3.4720000000000084E-2</v>
      </c>
    </row>
    <row r="7" spans="1:26" x14ac:dyDescent="0.3">
      <c r="A7">
        <v>4</v>
      </c>
      <c r="B7" s="1">
        <v>676313</v>
      </c>
      <c r="C7" s="1">
        <v>676313</v>
      </c>
      <c r="D7" s="1">
        <v>676313</v>
      </c>
      <c r="E7">
        <v>676313</v>
      </c>
      <c r="G7" s="1">
        <v>-1042570</v>
      </c>
      <c r="H7" s="1">
        <v>-1042570</v>
      </c>
      <c r="I7" s="1">
        <v>-1042570</v>
      </c>
      <c r="J7" s="1">
        <v>-1042570</v>
      </c>
      <c r="L7">
        <v>4</v>
      </c>
      <c r="M7" s="2">
        <f t="shared" si="0"/>
        <v>0.67631300000000005</v>
      </c>
      <c r="N7" s="2">
        <f t="shared" si="0"/>
        <v>0.67631300000000005</v>
      </c>
      <c r="O7" s="2">
        <f t="shared" si="1"/>
        <v>0.67631300000000005</v>
      </c>
      <c r="P7" s="2">
        <f t="shared" si="2"/>
        <v>0.67631300000000005</v>
      </c>
      <c r="Q7" s="2"/>
      <c r="R7" s="2">
        <f t="shared" si="3"/>
        <v>-1.04257</v>
      </c>
      <c r="S7" s="2">
        <f t="shared" si="3"/>
        <v>-1.04257</v>
      </c>
      <c r="T7" s="2">
        <f t="shared" si="4"/>
        <v>-1.04257</v>
      </c>
      <c r="U7" s="2">
        <f t="shared" si="5"/>
        <v>-1.04257</v>
      </c>
      <c r="W7" s="3">
        <f t="shared" si="6"/>
        <v>0.64159299999999997</v>
      </c>
      <c r="X7" s="3">
        <f t="shared" si="6"/>
        <v>0.64159299999999997</v>
      </c>
      <c r="Y7" s="3">
        <f>Y6+O7</f>
        <v>0.64159299999999997</v>
      </c>
      <c r="Z7" s="3">
        <f>Z6+P7</f>
        <v>0.64159299999999997</v>
      </c>
    </row>
    <row r="8" spans="1:26" x14ac:dyDescent="0.3">
      <c r="A8">
        <v>5</v>
      </c>
      <c r="B8" s="1">
        <v>522382</v>
      </c>
      <c r="C8" s="1">
        <v>522382</v>
      </c>
      <c r="D8" s="1">
        <v>522382</v>
      </c>
      <c r="E8">
        <v>522382</v>
      </c>
      <c r="G8" s="1">
        <v>-703987</v>
      </c>
      <c r="H8" s="1">
        <v>-703987</v>
      </c>
      <c r="I8" s="1">
        <v>-703987</v>
      </c>
      <c r="J8" s="1">
        <v>-703987</v>
      </c>
      <c r="L8">
        <v>5</v>
      </c>
      <c r="M8" s="2">
        <f t="shared" si="0"/>
        <v>0.52238200000000001</v>
      </c>
      <c r="N8" s="2">
        <f t="shared" si="0"/>
        <v>0.52238200000000001</v>
      </c>
      <c r="O8" s="2">
        <f t="shared" si="1"/>
        <v>0.52238200000000001</v>
      </c>
      <c r="P8" s="2">
        <f t="shared" si="2"/>
        <v>0.52238200000000001</v>
      </c>
      <c r="Q8" s="2"/>
      <c r="R8" s="2">
        <f t="shared" si="3"/>
        <v>-0.70398700000000003</v>
      </c>
      <c r="S8" s="2">
        <f t="shared" si="3"/>
        <v>-0.70398700000000003</v>
      </c>
      <c r="T8" s="2">
        <f t="shared" si="4"/>
        <v>-0.70398700000000003</v>
      </c>
      <c r="U8" s="2">
        <f t="shared" si="5"/>
        <v>-0.70398700000000003</v>
      </c>
      <c r="W8" s="3">
        <f t="shared" si="6"/>
        <v>1.163975</v>
      </c>
      <c r="X8" s="3">
        <f t="shared" si="6"/>
        <v>1.163975</v>
      </c>
      <c r="Y8" s="3">
        <f>Y7+O8</f>
        <v>1.163975</v>
      </c>
      <c r="Z8" s="3">
        <f>Z7+P8</f>
        <v>1.163975</v>
      </c>
    </row>
    <row r="9" spans="1:26" x14ac:dyDescent="0.3">
      <c r="A9">
        <v>6</v>
      </c>
      <c r="B9" s="1">
        <v>2407.9699999999998</v>
      </c>
      <c r="C9" s="1">
        <v>2407.9699999999998</v>
      </c>
      <c r="D9" s="1">
        <v>2407.9699999999998</v>
      </c>
      <c r="E9" s="1">
        <v>2407.9699999999998</v>
      </c>
      <c r="G9" s="1">
        <v>-702556</v>
      </c>
      <c r="H9" s="1">
        <v>-702556</v>
      </c>
      <c r="I9" s="1">
        <v>-702556</v>
      </c>
      <c r="J9" s="1">
        <v>-702556</v>
      </c>
      <c r="L9">
        <v>6</v>
      </c>
      <c r="M9" s="2">
        <f t="shared" si="0"/>
        <v>2.4079699999999997E-3</v>
      </c>
      <c r="N9" s="2">
        <f t="shared" si="0"/>
        <v>2.4079699999999997E-3</v>
      </c>
      <c r="O9" s="2">
        <f t="shared" si="1"/>
        <v>2.4079699999999997E-3</v>
      </c>
      <c r="P9" s="2">
        <f t="shared" si="2"/>
        <v>2.4079699999999997E-3</v>
      </c>
      <c r="Q9" s="2"/>
      <c r="R9" s="2">
        <f t="shared" si="3"/>
        <v>-0.70255599999999996</v>
      </c>
      <c r="S9" s="2">
        <f t="shared" si="3"/>
        <v>-0.70255599999999996</v>
      </c>
      <c r="T9" s="2">
        <f t="shared" si="4"/>
        <v>-0.70255599999999996</v>
      </c>
      <c r="U9" s="2">
        <f t="shared" si="5"/>
        <v>-0.70255599999999996</v>
      </c>
      <c r="W9" s="3">
        <f t="shared" si="6"/>
        <v>1.1663829699999999</v>
      </c>
      <c r="X9" s="3">
        <f t="shared" si="6"/>
        <v>1.1663829699999999</v>
      </c>
      <c r="Y9" s="3">
        <f>Y8+O9</f>
        <v>1.1663829699999999</v>
      </c>
      <c r="Z9" s="3">
        <f>Z8+P9</f>
        <v>1.1663829699999999</v>
      </c>
    </row>
    <row r="10" spans="1:26" x14ac:dyDescent="0.3">
      <c r="A10">
        <v>7</v>
      </c>
      <c r="B10">
        <v>-522389</v>
      </c>
      <c r="C10">
        <v>-522389</v>
      </c>
      <c r="D10">
        <v>-522389</v>
      </c>
      <c r="E10" s="1">
        <v>-522389</v>
      </c>
      <c r="G10" s="1">
        <v>-987222</v>
      </c>
      <c r="H10" s="1">
        <v>-987222</v>
      </c>
      <c r="I10" s="1">
        <v>-987222</v>
      </c>
      <c r="J10" s="1">
        <v>-987222</v>
      </c>
      <c r="L10">
        <v>7</v>
      </c>
      <c r="M10" s="2">
        <f t="shared" si="0"/>
        <v>-0.52238899999999999</v>
      </c>
      <c r="N10" s="2">
        <f t="shared" si="0"/>
        <v>-0.52238899999999999</v>
      </c>
      <c r="O10" s="2">
        <f t="shared" si="1"/>
        <v>-0.52238899999999999</v>
      </c>
      <c r="P10" s="2">
        <f t="shared" si="2"/>
        <v>-0.52238899999999999</v>
      </c>
      <c r="Q10" s="2"/>
      <c r="R10" s="2">
        <f t="shared" si="3"/>
        <v>-0.98722200000000004</v>
      </c>
      <c r="S10" s="2">
        <f t="shared" si="3"/>
        <v>-0.98722200000000004</v>
      </c>
      <c r="T10" s="2">
        <f t="shared" si="4"/>
        <v>-0.98722200000000004</v>
      </c>
      <c r="U10" s="2">
        <f t="shared" si="5"/>
        <v>-0.98722200000000004</v>
      </c>
      <c r="W10" s="3">
        <f t="shared" si="6"/>
        <v>0.64399396999999992</v>
      </c>
      <c r="X10" s="3">
        <f t="shared" si="6"/>
        <v>0.64399396999999992</v>
      </c>
      <c r="Y10" s="3">
        <f>Y9+O10</f>
        <v>0.64399396999999992</v>
      </c>
      <c r="Z10" s="3">
        <f>Z9+P10</f>
        <v>0.64399396999999992</v>
      </c>
    </row>
    <row r="11" spans="1:26" x14ac:dyDescent="0.3">
      <c r="A11">
        <v>8</v>
      </c>
      <c r="B11">
        <v>-691240</v>
      </c>
      <c r="C11">
        <v>-691240</v>
      </c>
      <c r="D11" s="1">
        <v>-691240</v>
      </c>
      <c r="E11" s="1">
        <v>-691240</v>
      </c>
      <c r="G11" s="1">
        <v>-1332610</v>
      </c>
      <c r="H11" s="1">
        <v>-1332610</v>
      </c>
      <c r="I11" s="1">
        <v>-1332610</v>
      </c>
      <c r="J11" s="1">
        <v>-1332610</v>
      </c>
      <c r="L11">
        <v>8</v>
      </c>
      <c r="M11" s="2">
        <f t="shared" si="0"/>
        <v>-0.69123999999999997</v>
      </c>
      <c r="N11" s="2">
        <f t="shared" si="0"/>
        <v>-0.69123999999999997</v>
      </c>
      <c r="O11" s="2">
        <f t="shared" si="1"/>
        <v>-0.69123999999999997</v>
      </c>
      <c r="P11" s="2">
        <f t="shared" si="2"/>
        <v>-0.69123999999999997</v>
      </c>
      <c r="Q11" s="2"/>
      <c r="R11" s="2">
        <f t="shared" si="3"/>
        <v>-1.3326100000000001</v>
      </c>
      <c r="S11" s="2">
        <f t="shared" si="3"/>
        <v>-1.3326100000000001</v>
      </c>
      <c r="T11" s="2">
        <f t="shared" si="4"/>
        <v>-1.3326100000000001</v>
      </c>
      <c r="U11" s="2">
        <f t="shared" si="5"/>
        <v>-1.3326100000000001</v>
      </c>
      <c r="W11" s="3">
        <f t="shared" si="6"/>
        <v>-4.724603000000005E-2</v>
      </c>
      <c r="X11" s="3">
        <f t="shared" si="6"/>
        <v>-4.724603000000005E-2</v>
      </c>
      <c r="Y11" s="3">
        <f>Y10+O11</f>
        <v>-4.724603000000005E-2</v>
      </c>
      <c r="Z11" s="3">
        <f>Z10+P11</f>
        <v>-4.724603000000005E-2</v>
      </c>
    </row>
    <row r="12" spans="1:26" x14ac:dyDescent="0.3">
      <c r="A12">
        <v>9</v>
      </c>
      <c r="B12" s="1">
        <v>-865807</v>
      </c>
      <c r="C12" s="1">
        <v>-865807</v>
      </c>
      <c r="D12" s="1">
        <v>-865807</v>
      </c>
      <c r="E12" s="1">
        <v>-865807</v>
      </c>
      <c r="G12" s="1">
        <v>-1729280</v>
      </c>
      <c r="H12" s="1">
        <v>-1729280</v>
      </c>
      <c r="I12" s="1">
        <v>-1729280</v>
      </c>
      <c r="J12" s="1">
        <v>-1729280</v>
      </c>
      <c r="L12">
        <v>9</v>
      </c>
      <c r="M12" s="2">
        <f t="shared" si="0"/>
        <v>-0.86580699999999999</v>
      </c>
      <c r="N12" s="2">
        <f t="shared" si="0"/>
        <v>-0.86580699999999999</v>
      </c>
      <c r="O12" s="2">
        <f t="shared" si="1"/>
        <v>-0.86580699999999999</v>
      </c>
      <c r="P12" s="2">
        <f t="shared" si="2"/>
        <v>-0.86580699999999999</v>
      </c>
      <c r="Q12" s="2"/>
      <c r="R12" s="2">
        <f t="shared" si="3"/>
        <v>-1.7292799999999999</v>
      </c>
      <c r="S12" s="2">
        <f t="shared" si="3"/>
        <v>-1.7292799999999999</v>
      </c>
      <c r="T12" s="2">
        <f t="shared" si="4"/>
        <v>-1.7292799999999999</v>
      </c>
      <c r="U12" s="2">
        <f t="shared" si="5"/>
        <v>-1.7292799999999999</v>
      </c>
      <c r="W12" s="3">
        <f t="shared" si="6"/>
        <v>-0.91305303000000004</v>
      </c>
      <c r="X12" s="3">
        <f t="shared" si="6"/>
        <v>-0.91305303000000004</v>
      </c>
      <c r="Y12" s="3">
        <f>Y11+O12</f>
        <v>-0.91305303000000004</v>
      </c>
      <c r="Z12" s="3">
        <f>Z11+P12</f>
        <v>-0.91305303000000004</v>
      </c>
    </row>
    <row r="13" spans="1:26" x14ac:dyDescent="0.3">
      <c r="A13">
        <v>10</v>
      </c>
      <c r="B13" s="1">
        <v>-1046480</v>
      </c>
      <c r="C13" s="1">
        <v>-1046480</v>
      </c>
      <c r="D13" s="1">
        <v>-1046480</v>
      </c>
      <c r="E13" s="1">
        <v>-1046480</v>
      </c>
      <c r="G13" s="1">
        <v>-2168900</v>
      </c>
      <c r="H13" s="1">
        <v>-2168900</v>
      </c>
      <c r="I13" s="1">
        <v>-2168900</v>
      </c>
      <c r="J13" s="1">
        <v>-2168900</v>
      </c>
      <c r="L13">
        <v>10</v>
      </c>
      <c r="M13" s="2">
        <f t="shared" si="0"/>
        <v>-1.0464800000000001</v>
      </c>
      <c r="N13" s="2">
        <f t="shared" si="0"/>
        <v>-1.0464800000000001</v>
      </c>
      <c r="O13" s="2">
        <f t="shared" si="1"/>
        <v>-1.0464800000000001</v>
      </c>
      <c r="P13" s="2">
        <f t="shared" si="2"/>
        <v>-1.0464800000000001</v>
      </c>
      <c r="Q13" s="2"/>
      <c r="R13" s="2">
        <f t="shared" si="3"/>
        <v>-2.1688999999999998</v>
      </c>
      <c r="S13" s="2">
        <f t="shared" si="3"/>
        <v>-2.1688999999999998</v>
      </c>
      <c r="T13" s="2">
        <f t="shared" si="4"/>
        <v>-2.1688999999999998</v>
      </c>
      <c r="U13" s="2">
        <f t="shared" si="5"/>
        <v>-2.1688999999999998</v>
      </c>
      <c r="W13" s="3">
        <f t="shared" si="6"/>
        <v>-1.9595330300000002</v>
      </c>
      <c r="X13" s="3">
        <f t="shared" si="6"/>
        <v>-1.9595330300000002</v>
      </c>
      <c r="Y13" s="3">
        <f>Y12+O13</f>
        <v>-1.9595330300000002</v>
      </c>
      <c r="Z13" s="3">
        <f>Z12+P13</f>
        <v>-1.9595330300000002</v>
      </c>
    </row>
    <row r="14" spans="1:26" x14ac:dyDescent="0.3">
      <c r="A14">
        <v>11</v>
      </c>
      <c r="B14" s="1">
        <v>-1233410</v>
      </c>
      <c r="C14" s="1">
        <v>-1233410</v>
      </c>
      <c r="D14" s="1">
        <v>-4315090</v>
      </c>
      <c r="E14" s="1">
        <v>-28510200</v>
      </c>
      <c r="G14" s="1">
        <v>-2644000</v>
      </c>
      <c r="H14" s="1">
        <v>-2644000</v>
      </c>
      <c r="I14" s="1">
        <v>-3831040</v>
      </c>
      <c r="J14" s="1">
        <v>-13150900</v>
      </c>
      <c r="L14">
        <v>11</v>
      </c>
      <c r="M14" s="2">
        <f t="shared" si="0"/>
        <v>-1.2334099999999999</v>
      </c>
      <c r="N14" s="2">
        <f t="shared" si="0"/>
        <v>-1.2334099999999999</v>
      </c>
      <c r="O14" s="2">
        <f t="shared" si="1"/>
        <v>-4.3150899999999996</v>
      </c>
      <c r="P14" s="2">
        <f t="shared" si="2"/>
        <v>-28.510200000000001</v>
      </c>
      <c r="Q14" s="2"/>
      <c r="R14" s="2">
        <f t="shared" si="3"/>
        <v>-2.6440000000000001</v>
      </c>
      <c r="S14" s="2">
        <f t="shared" si="3"/>
        <v>-2.6440000000000001</v>
      </c>
      <c r="T14" s="2">
        <f t="shared" si="4"/>
        <v>-3.8310399999999998</v>
      </c>
      <c r="U14" s="2">
        <f t="shared" si="5"/>
        <v>-13.1509</v>
      </c>
      <c r="W14" s="3">
        <f t="shared" si="6"/>
        <v>-3.1929430300000003</v>
      </c>
      <c r="X14" s="3">
        <f t="shared" si="6"/>
        <v>-3.1929430300000003</v>
      </c>
      <c r="Y14" s="3">
        <f>Y13+O14</f>
        <v>-6.2746230299999999</v>
      </c>
      <c r="Z14" s="3">
        <f>Z13+P14</f>
        <v>-30.46973303</v>
      </c>
    </row>
    <row r="15" spans="1:26" x14ac:dyDescent="0.3">
      <c r="A15">
        <v>12</v>
      </c>
      <c r="B15" s="1">
        <v>-131317</v>
      </c>
      <c r="C15" s="1">
        <v>-131317</v>
      </c>
      <c r="D15" s="1">
        <v>-1045060</v>
      </c>
      <c r="E15" s="1">
        <v>-12584400</v>
      </c>
      <c r="G15" s="1">
        <v>-2690380</v>
      </c>
      <c r="H15" s="1">
        <v>-2690380</v>
      </c>
      <c r="I15" s="1">
        <v>-4200150</v>
      </c>
      <c r="J15" s="1">
        <v>-17595600</v>
      </c>
      <c r="L15">
        <v>12</v>
      </c>
      <c r="M15" s="2">
        <f t="shared" si="0"/>
        <v>-0.13131699999999999</v>
      </c>
      <c r="N15" s="2">
        <f t="shared" si="0"/>
        <v>-0.13131699999999999</v>
      </c>
      <c r="O15" s="2">
        <f t="shared" si="1"/>
        <v>-1.0450600000000001</v>
      </c>
      <c r="P15" s="2">
        <f t="shared" si="2"/>
        <v>-12.5844</v>
      </c>
      <c r="Q15" s="2"/>
      <c r="R15" s="2">
        <f t="shared" si="3"/>
        <v>-2.6903800000000002</v>
      </c>
      <c r="S15" s="2">
        <f t="shared" si="3"/>
        <v>-2.6903800000000002</v>
      </c>
      <c r="T15" s="5">
        <f t="shared" si="4"/>
        <v>-4.2001499999999998</v>
      </c>
      <c r="U15" s="2">
        <f t="shared" si="5"/>
        <v>-17.595600000000001</v>
      </c>
      <c r="W15" s="3">
        <f t="shared" ref="W15:X23" si="7">W14+M15</f>
        <v>-3.3242600300000005</v>
      </c>
      <c r="X15" s="3">
        <f t="shared" si="7"/>
        <v>-3.3242600300000005</v>
      </c>
      <c r="Y15" s="3">
        <f t="shared" ref="Y15:Y23" si="8">Y14+O15</f>
        <v>-7.3196830300000002</v>
      </c>
      <c r="Z15" s="4">
        <f>Z14+P15</f>
        <v>-43.054133030000003</v>
      </c>
    </row>
    <row r="16" spans="1:26" x14ac:dyDescent="0.3">
      <c r="A16">
        <v>13</v>
      </c>
      <c r="B16" s="1">
        <v>1023740</v>
      </c>
      <c r="C16" s="1">
        <v>1865740</v>
      </c>
      <c r="E16" s="1">
        <v>2742620</v>
      </c>
      <c r="G16" s="1">
        <v>-2358840</v>
      </c>
      <c r="H16" s="1">
        <v>-2086150</v>
      </c>
      <c r="J16" s="1">
        <v>-16707400</v>
      </c>
      <c r="L16">
        <v>13</v>
      </c>
      <c r="M16" s="2">
        <f t="shared" si="0"/>
        <v>1.0237400000000001</v>
      </c>
      <c r="N16" s="2">
        <f t="shared" si="0"/>
        <v>1.86574</v>
      </c>
      <c r="O16" s="2">
        <f t="shared" si="1"/>
        <v>0</v>
      </c>
      <c r="P16" s="2">
        <f t="shared" si="2"/>
        <v>2.7426200000000001</v>
      </c>
      <c r="Q16" s="2"/>
      <c r="R16" s="2">
        <f t="shared" si="3"/>
        <v>-2.3588399999999998</v>
      </c>
      <c r="S16" s="2">
        <f t="shared" si="3"/>
        <v>-2.0861499999999999</v>
      </c>
      <c r="T16" s="2">
        <f t="shared" si="4"/>
        <v>0</v>
      </c>
      <c r="U16" s="2">
        <f t="shared" si="5"/>
        <v>-16.7074</v>
      </c>
      <c r="W16" s="3">
        <f t="shared" si="7"/>
        <v>-2.3005200300000004</v>
      </c>
      <c r="X16" s="3">
        <f t="shared" si="7"/>
        <v>-1.4585200300000005</v>
      </c>
      <c r="Y16" s="3">
        <f t="shared" si="8"/>
        <v>-7.3196830300000002</v>
      </c>
      <c r="Z16" s="3">
        <f t="shared" ref="Z16:Z23" si="9">Z15+P16</f>
        <v>-40.31151303</v>
      </c>
    </row>
    <row r="17" spans="1:26" x14ac:dyDescent="0.3">
      <c r="A17">
        <v>14</v>
      </c>
      <c r="B17" s="1">
        <v>948880</v>
      </c>
      <c r="C17" s="1">
        <v>1799270</v>
      </c>
      <c r="E17" s="1">
        <v>2734160</v>
      </c>
      <c r="G17" s="1">
        <v>-2077070</v>
      </c>
      <c r="H17" s="1">
        <v>-1551860</v>
      </c>
      <c r="J17" s="1">
        <v>-15895500</v>
      </c>
      <c r="L17">
        <v>14</v>
      </c>
      <c r="M17" s="2">
        <f t="shared" si="0"/>
        <v>0.94887999999999995</v>
      </c>
      <c r="N17" s="2">
        <f t="shared" si="0"/>
        <v>1.7992699999999999</v>
      </c>
      <c r="O17" s="2">
        <f t="shared" si="1"/>
        <v>0</v>
      </c>
      <c r="P17" s="2">
        <f t="shared" si="2"/>
        <v>2.7341600000000001</v>
      </c>
      <c r="Q17" s="2"/>
      <c r="R17" s="2">
        <f t="shared" si="3"/>
        <v>-2.07707</v>
      </c>
      <c r="S17" s="2">
        <f t="shared" si="3"/>
        <v>-1.55186</v>
      </c>
      <c r="T17" s="2">
        <f t="shared" si="4"/>
        <v>0</v>
      </c>
      <c r="U17" s="2">
        <f t="shared" si="5"/>
        <v>-15.8955</v>
      </c>
      <c r="W17" s="3">
        <f t="shared" si="7"/>
        <v>-1.3516400300000004</v>
      </c>
      <c r="X17" s="3">
        <f t="shared" si="7"/>
        <v>0.3407499699999994</v>
      </c>
      <c r="Y17" s="3">
        <f t="shared" si="8"/>
        <v>-7.3196830300000002</v>
      </c>
      <c r="Z17" s="3">
        <f t="shared" si="9"/>
        <v>-37.577353029999998</v>
      </c>
    </row>
    <row r="18" spans="1:26" x14ac:dyDescent="0.3">
      <c r="A18">
        <v>15</v>
      </c>
      <c r="B18" s="1">
        <v>872328</v>
      </c>
      <c r="C18" s="1">
        <v>1731180</v>
      </c>
      <c r="E18" s="1">
        <v>2725150</v>
      </c>
      <c r="G18" s="1">
        <v>-1839550</v>
      </c>
      <c r="H18" s="1">
        <v>-1080490</v>
      </c>
      <c r="J18" s="1">
        <v>-15153500</v>
      </c>
      <c r="L18">
        <v>15</v>
      </c>
      <c r="M18" s="2">
        <f t="shared" si="0"/>
        <v>0.87232799999999999</v>
      </c>
      <c r="N18" s="2">
        <f t="shared" si="0"/>
        <v>1.7311799999999999</v>
      </c>
      <c r="O18" s="2">
        <f t="shared" si="1"/>
        <v>0</v>
      </c>
      <c r="P18" s="2">
        <f t="shared" si="2"/>
        <v>2.7251500000000002</v>
      </c>
      <c r="Q18" s="2"/>
      <c r="R18" s="2">
        <f t="shared" si="3"/>
        <v>-1.83955</v>
      </c>
      <c r="S18" s="2">
        <f t="shared" si="3"/>
        <v>-1.08049</v>
      </c>
      <c r="T18" s="2">
        <f t="shared" si="4"/>
        <v>0</v>
      </c>
      <c r="U18" s="2">
        <f t="shared" si="5"/>
        <v>-15.153499999999999</v>
      </c>
      <c r="W18" s="3">
        <f t="shared" si="7"/>
        <v>-0.47931203000000044</v>
      </c>
      <c r="X18" s="3">
        <f t="shared" si="7"/>
        <v>2.0719299699999993</v>
      </c>
      <c r="Y18" s="3">
        <f t="shared" si="8"/>
        <v>-7.3196830300000002</v>
      </c>
      <c r="Z18" s="3">
        <f t="shared" si="9"/>
        <v>-34.852203029999998</v>
      </c>
    </row>
    <row r="19" spans="1:26" x14ac:dyDescent="0.3">
      <c r="A19">
        <v>16</v>
      </c>
      <c r="B19" s="1">
        <v>783472</v>
      </c>
      <c r="C19" s="1">
        <v>1650880</v>
      </c>
      <c r="E19" s="1">
        <v>2704980</v>
      </c>
      <c r="G19" s="1">
        <v>-1643940</v>
      </c>
      <c r="H19" s="1">
        <v>-668333</v>
      </c>
      <c r="J19" s="1">
        <v>-14478100</v>
      </c>
      <c r="L19">
        <v>16</v>
      </c>
      <c r="M19" s="2">
        <f t="shared" si="0"/>
        <v>0.78347199999999995</v>
      </c>
      <c r="N19" s="2">
        <f t="shared" si="0"/>
        <v>1.6508799999999999</v>
      </c>
      <c r="O19" s="2">
        <f t="shared" si="1"/>
        <v>0</v>
      </c>
      <c r="P19" s="2">
        <f t="shared" si="2"/>
        <v>2.7049799999999999</v>
      </c>
      <c r="Q19" s="2"/>
      <c r="R19" s="2">
        <f t="shared" si="3"/>
        <v>-1.64394</v>
      </c>
      <c r="S19" s="2">
        <f t="shared" si="3"/>
        <v>-0.66833299999999995</v>
      </c>
      <c r="T19" s="2">
        <f t="shared" si="4"/>
        <v>0</v>
      </c>
      <c r="U19" s="2">
        <f t="shared" si="5"/>
        <v>-14.4781</v>
      </c>
      <c r="W19" s="3">
        <f t="shared" si="7"/>
        <v>0.3041599699999995</v>
      </c>
      <c r="X19" s="3">
        <f t="shared" si="7"/>
        <v>3.7228099699999992</v>
      </c>
      <c r="Y19" s="3">
        <f t="shared" si="8"/>
        <v>-7.3196830300000002</v>
      </c>
      <c r="Z19" s="3">
        <f t="shared" si="9"/>
        <v>-32.147223029999999</v>
      </c>
    </row>
    <row r="20" spans="1:26" x14ac:dyDescent="0.3">
      <c r="A20">
        <v>17</v>
      </c>
      <c r="B20" s="1">
        <v>692828</v>
      </c>
      <c r="C20" s="1">
        <v>1568870</v>
      </c>
      <c r="E20" s="1">
        <v>2684220</v>
      </c>
      <c r="G20" s="1">
        <v>-1485340</v>
      </c>
      <c r="H20" s="1">
        <v>-309185</v>
      </c>
      <c r="J20" s="1">
        <v>-13863700</v>
      </c>
      <c r="L20">
        <v>17</v>
      </c>
      <c r="M20" s="2">
        <f t="shared" si="0"/>
        <v>0.692828</v>
      </c>
      <c r="N20" s="2">
        <f t="shared" si="0"/>
        <v>1.56887</v>
      </c>
      <c r="O20" s="2">
        <f t="shared" si="1"/>
        <v>0</v>
      </c>
      <c r="P20" s="2">
        <f t="shared" si="2"/>
        <v>2.6842199999999998</v>
      </c>
      <c r="Q20" s="2"/>
      <c r="R20" s="2">
        <f t="shared" si="3"/>
        <v>-1.4853400000000001</v>
      </c>
      <c r="S20" s="2">
        <f t="shared" si="3"/>
        <v>-0.30918499999999999</v>
      </c>
      <c r="T20" s="2">
        <f t="shared" si="4"/>
        <v>0</v>
      </c>
      <c r="U20" s="2">
        <f t="shared" si="5"/>
        <v>-13.8637</v>
      </c>
      <c r="W20" s="3">
        <f t="shared" si="7"/>
        <v>0.9969879699999995</v>
      </c>
      <c r="X20" s="3">
        <f t="shared" si="7"/>
        <v>5.2916799699999988</v>
      </c>
      <c r="Y20" s="3">
        <f t="shared" si="8"/>
        <v>-7.3196830300000002</v>
      </c>
      <c r="Z20" s="3">
        <f t="shared" si="9"/>
        <v>-29.463003029999999</v>
      </c>
    </row>
    <row r="21" spans="1:26" x14ac:dyDescent="0.3">
      <c r="A21">
        <v>18</v>
      </c>
      <c r="B21" s="1">
        <v>610776</v>
      </c>
      <c r="C21" s="1">
        <v>1495540</v>
      </c>
      <c r="E21" s="1">
        <v>2673250</v>
      </c>
      <c r="G21" s="1">
        <v>-1357140</v>
      </c>
      <c r="H21" s="1">
        <v>4734.1499999999996</v>
      </c>
      <c r="J21" s="1">
        <v>-13302500</v>
      </c>
      <c r="L21">
        <v>18</v>
      </c>
      <c r="M21" s="2">
        <f t="shared" si="0"/>
        <v>0.61077599999999999</v>
      </c>
      <c r="N21" s="2">
        <f t="shared" si="0"/>
        <v>1.4955400000000001</v>
      </c>
      <c r="O21" s="2">
        <f t="shared" si="1"/>
        <v>0</v>
      </c>
      <c r="P21" s="2">
        <f t="shared" si="2"/>
        <v>2.6732499999999999</v>
      </c>
      <c r="Q21" s="2"/>
      <c r="R21" s="2">
        <f t="shared" si="3"/>
        <v>-1.35714</v>
      </c>
      <c r="S21" s="2">
        <f t="shared" si="3"/>
        <v>4.7341499999999995E-3</v>
      </c>
      <c r="T21" s="2">
        <f t="shared" si="4"/>
        <v>0</v>
      </c>
      <c r="U21" s="2">
        <f t="shared" si="5"/>
        <v>-13.3025</v>
      </c>
      <c r="W21" s="3">
        <f t="shared" si="7"/>
        <v>1.6077639699999995</v>
      </c>
      <c r="X21" s="3">
        <f t="shared" si="7"/>
        <v>6.7872199699999989</v>
      </c>
      <c r="Y21" s="3">
        <f t="shared" si="8"/>
        <v>-7.3196830300000002</v>
      </c>
      <c r="Z21" s="3">
        <f t="shared" si="9"/>
        <v>-26.78975303</v>
      </c>
    </row>
    <row r="22" spans="1:26" x14ac:dyDescent="0.3">
      <c r="A22">
        <v>19</v>
      </c>
      <c r="B22" s="1">
        <v>526838</v>
      </c>
      <c r="C22" s="1">
        <v>1420400</v>
      </c>
      <c r="E22" s="1">
        <v>2661600</v>
      </c>
      <c r="G22" s="1">
        <v>-1255740</v>
      </c>
      <c r="H22" s="1">
        <v>278115</v>
      </c>
      <c r="J22" s="1">
        <v>-12790300</v>
      </c>
      <c r="L22">
        <v>19</v>
      </c>
      <c r="M22" s="2">
        <f t="shared" si="0"/>
        <v>0.52683800000000003</v>
      </c>
      <c r="N22" s="2">
        <f t="shared" si="0"/>
        <v>1.4204000000000001</v>
      </c>
      <c r="O22" s="2">
        <f t="shared" si="1"/>
        <v>0</v>
      </c>
      <c r="P22" s="2">
        <f t="shared" si="2"/>
        <v>2.6616</v>
      </c>
      <c r="Q22" s="2"/>
      <c r="R22" s="2">
        <f t="shared" si="3"/>
        <v>-1.2557400000000001</v>
      </c>
      <c r="S22" s="2">
        <f t="shared" si="3"/>
        <v>0.278115</v>
      </c>
      <c r="T22" s="2">
        <f t="shared" si="4"/>
        <v>0</v>
      </c>
      <c r="U22" s="2">
        <f t="shared" si="5"/>
        <v>-12.7903</v>
      </c>
      <c r="W22" s="3">
        <f t="shared" si="7"/>
        <v>2.1346019699999994</v>
      </c>
      <c r="X22" s="3">
        <f t="shared" si="7"/>
        <v>8.2076199699999997</v>
      </c>
      <c r="Y22" s="3">
        <f t="shared" si="8"/>
        <v>-7.3196830300000002</v>
      </c>
      <c r="Z22" s="3">
        <f t="shared" si="9"/>
        <v>-24.12815303</v>
      </c>
    </row>
    <row r="23" spans="1:26" x14ac:dyDescent="0.3">
      <c r="A23">
        <v>20</v>
      </c>
      <c r="B23" s="1">
        <v>440981</v>
      </c>
      <c r="C23" s="1">
        <v>1343440</v>
      </c>
      <c r="E23" s="1">
        <v>2649260</v>
      </c>
      <c r="G23" s="1">
        <v>-1177910</v>
      </c>
      <c r="H23" s="1">
        <v>515202</v>
      </c>
      <c r="J23" s="1">
        <v>-12322700</v>
      </c>
      <c r="L23">
        <v>20</v>
      </c>
      <c r="M23" s="2">
        <f t="shared" si="0"/>
        <v>0.44098100000000001</v>
      </c>
      <c r="N23" s="2">
        <f t="shared" si="0"/>
        <v>1.34344</v>
      </c>
      <c r="O23" s="2">
        <f t="shared" si="1"/>
        <v>0</v>
      </c>
      <c r="P23" s="2">
        <f t="shared" si="2"/>
        <v>2.6492599999999999</v>
      </c>
      <c r="Q23" s="2"/>
      <c r="R23" s="2">
        <f t="shared" si="3"/>
        <v>-1.17791</v>
      </c>
      <c r="S23" s="2">
        <f t="shared" si="3"/>
        <v>0.51520200000000005</v>
      </c>
      <c r="T23" s="2">
        <f t="shared" si="4"/>
        <v>0</v>
      </c>
      <c r="U23" s="2">
        <f t="shared" si="5"/>
        <v>-12.322699999999999</v>
      </c>
      <c r="W23" s="3">
        <f t="shared" si="7"/>
        <v>2.5755829699999992</v>
      </c>
      <c r="X23" s="3">
        <f t="shared" si="7"/>
        <v>9.551059969999999</v>
      </c>
      <c r="Y23" s="3">
        <f t="shared" si="8"/>
        <v>-7.3196830300000002</v>
      </c>
      <c r="Z23" s="3">
        <f t="shared" si="9"/>
        <v>-21.478893030000002</v>
      </c>
    </row>
    <row r="24" spans="1:26" x14ac:dyDescent="0.3">
      <c r="A24">
        <v>21</v>
      </c>
      <c r="B24" s="1">
        <v>347025</v>
      </c>
      <c r="C24" s="1">
        <v>1258460</v>
      </c>
      <c r="E24" s="1">
        <v>2630080</v>
      </c>
      <c r="G24" s="1">
        <v>-1121760</v>
      </c>
      <c r="H24" s="1">
        <v>718843</v>
      </c>
      <c r="J24" s="1">
        <v>-11897100</v>
      </c>
      <c r="L24">
        <v>21</v>
      </c>
      <c r="M24" s="2">
        <f t="shared" si="0"/>
        <v>0.34702499999999997</v>
      </c>
      <c r="N24" s="2">
        <f t="shared" si="0"/>
        <v>1.2584599999999999</v>
      </c>
      <c r="O24" s="2">
        <f t="shared" si="1"/>
        <v>0</v>
      </c>
      <c r="P24" s="2">
        <f t="shared" si="2"/>
        <v>2.63008</v>
      </c>
      <c r="Q24" s="2"/>
      <c r="R24" s="2">
        <f t="shared" si="3"/>
        <v>-1.1217600000000001</v>
      </c>
      <c r="S24" s="2">
        <f t="shared" si="3"/>
        <v>0.71884300000000001</v>
      </c>
      <c r="T24" s="2">
        <f t="shared" si="4"/>
        <v>0</v>
      </c>
      <c r="U24" s="2">
        <f t="shared" si="5"/>
        <v>-11.8971</v>
      </c>
    </row>
    <row r="25" spans="1:26" x14ac:dyDescent="0.3">
      <c r="A25">
        <v>22</v>
      </c>
      <c r="B25" s="1">
        <v>251081</v>
      </c>
      <c r="C25" s="1">
        <v>1171580</v>
      </c>
      <c r="E25" s="1">
        <v>2610170</v>
      </c>
      <c r="G25" s="1">
        <v>-1084510</v>
      </c>
      <c r="H25" s="1">
        <v>892676</v>
      </c>
      <c r="J25" s="1">
        <v>-11509900</v>
      </c>
      <c r="L25">
        <v>22</v>
      </c>
      <c r="M25" s="2">
        <f t="shared" si="0"/>
        <v>0.251081</v>
      </c>
      <c r="N25" s="2">
        <f t="shared" si="0"/>
        <v>1.1715800000000001</v>
      </c>
      <c r="O25" s="2">
        <f t="shared" si="1"/>
        <v>0</v>
      </c>
      <c r="P25" s="2">
        <f t="shared" si="2"/>
        <v>2.6101700000000001</v>
      </c>
      <c r="Q25" s="2"/>
      <c r="R25" s="2">
        <f t="shared" si="3"/>
        <v>-1.0845100000000001</v>
      </c>
      <c r="S25" s="2">
        <f t="shared" si="3"/>
        <v>0.89267600000000003</v>
      </c>
      <c r="T25" s="2">
        <f t="shared" si="4"/>
        <v>0</v>
      </c>
      <c r="U25" s="2">
        <f t="shared" si="5"/>
        <v>-11.5099</v>
      </c>
    </row>
    <row r="26" spans="1:26" x14ac:dyDescent="0.3">
      <c r="A26">
        <v>23</v>
      </c>
      <c r="B26" s="1">
        <v>159262</v>
      </c>
      <c r="C26" s="1">
        <v>1088910</v>
      </c>
      <c r="E26" s="1">
        <v>2595680</v>
      </c>
      <c r="G26" s="1">
        <v>-1062840</v>
      </c>
      <c r="H26" s="1">
        <v>1040820</v>
      </c>
      <c r="J26" s="1">
        <v>-11156700</v>
      </c>
      <c r="L26">
        <v>23</v>
      </c>
      <c r="M26" s="2">
        <f t="shared" si="0"/>
        <v>0.15926199999999999</v>
      </c>
      <c r="N26" s="2">
        <f t="shared" si="0"/>
        <v>1.08891</v>
      </c>
      <c r="O26" s="2">
        <f t="shared" si="1"/>
        <v>0</v>
      </c>
      <c r="P26" s="2">
        <f t="shared" si="2"/>
        <v>2.5956800000000002</v>
      </c>
      <c r="Q26" s="2"/>
      <c r="R26" s="5">
        <f t="shared" si="3"/>
        <v>-1.06284</v>
      </c>
      <c r="S26" s="5">
        <f t="shared" si="3"/>
        <v>1.0408200000000001</v>
      </c>
      <c r="T26" s="2">
        <f t="shared" si="4"/>
        <v>0</v>
      </c>
      <c r="U26" s="5">
        <f t="shared" si="5"/>
        <v>-11.156700000000001</v>
      </c>
    </row>
    <row r="27" spans="1:26" x14ac:dyDescent="0.3">
      <c r="A27">
        <v>24</v>
      </c>
      <c r="B27" s="1">
        <v>65388.800000000003</v>
      </c>
      <c r="C27" s="1">
        <v>1004270</v>
      </c>
      <c r="E27" s="1">
        <v>2580430</v>
      </c>
      <c r="G27" s="1">
        <v>-1054680</v>
      </c>
      <c r="H27" s="1">
        <v>1166100</v>
      </c>
      <c r="J27" s="1">
        <v>-10834800</v>
      </c>
      <c r="L27">
        <v>24</v>
      </c>
      <c r="M27" s="2">
        <f t="shared" si="0"/>
        <v>6.5388799999999997E-2</v>
      </c>
      <c r="N27" s="2">
        <f t="shared" si="0"/>
        <v>1.00427</v>
      </c>
      <c r="O27" s="2">
        <f t="shared" si="1"/>
        <v>0</v>
      </c>
      <c r="P27" s="2">
        <f t="shared" si="2"/>
        <v>2.5804299999999998</v>
      </c>
      <c r="Q27" s="2"/>
      <c r="R27" s="2">
        <f t="shared" si="3"/>
        <v>-1.0546800000000001</v>
      </c>
      <c r="S27" s="2">
        <f t="shared" si="3"/>
        <v>1.1660999999999999</v>
      </c>
      <c r="T27" s="2">
        <f t="shared" si="4"/>
        <v>0</v>
      </c>
      <c r="U27" s="2">
        <f t="shared" si="5"/>
        <v>-10.8348</v>
      </c>
    </row>
    <row r="28" spans="1:26" x14ac:dyDescent="0.3">
      <c r="A28">
        <v>25</v>
      </c>
      <c r="B28" s="1">
        <v>649262</v>
      </c>
      <c r="C28" s="1">
        <v>1597460</v>
      </c>
      <c r="E28" s="1">
        <v>3244240</v>
      </c>
      <c r="G28" s="1">
        <v>-980417</v>
      </c>
      <c r="H28" s="1">
        <v>1348820</v>
      </c>
      <c r="J28" s="1">
        <v>-10463700</v>
      </c>
      <c r="L28">
        <v>25</v>
      </c>
      <c r="M28" s="2">
        <f t="shared" si="0"/>
        <v>0.64926200000000001</v>
      </c>
      <c r="N28" s="2">
        <f t="shared" si="0"/>
        <v>1.5974600000000001</v>
      </c>
      <c r="O28" s="2">
        <f t="shared" si="1"/>
        <v>0</v>
      </c>
      <c r="P28" s="2">
        <f t="shared" si="2"/>
        <v>3.24424</v>
      </c>
      <c r="Q28" s="2"/>
      <c r="R28" s="2">
        <f t="shared" si="3"/>
        <v>-0.98041699999999998</v>
      </c>
      <c r="S28" s="2">
        <f t="shared" si="3"/>
        <v>1.3488199999999999</v>
      </c>
      <c r="T28" s="2">
        <f t="shared" si="4"/>
        <v>0</v>
      </c>
      <c r="U28" s="2">
        <f t="shared" si="5"/>
        <v>-10.463699999999999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aa01ab-7cf8-4360-9f3f-f87b1ec95c26">
      <Terms xmlns="http://schemas.microsoft.com/office/infopath/2007/PartnerControls"/>
    </lcf76f155ced4ddcb4097134ff3c332f>
    <TaxCatchAll xmlns="d481fc2a-e230-47f7-a716-4f7f4b27a8e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88E4FEB44D0B4CB1AD2E9A3A83F076" ma:contentTypeVersion="14" ma:contentTypeDescription="Create a new document." ma:contentTypeScope="" ma:versionID="c1d34d9b8e131c103df8a093e310b027">
  <xsd:schema xmlns:xsd="http://www.w3.org/2001/XMLSchema" xmlns:xs="http://www.w3.org/2001/XMLSchema" xmlns:p="http://schemas.microsoft.com/office/2006/metadata/properties" xmlns:ns2="8baa01ab-7cf8-4360-9f3f-f87b1ec95c26" xmlns:ns3="d481fc2a-e230-47f7-a716-4f7f4b27a8e6" targetNamespace="http://schemas.microsoft.com/office/2006/metadata/properties" ma:root="true" ma:fieldsID="c44e149c0724d485dcb6f09127e30ffd" ns2:_="" ns3:_="">
    <xsd:import namespace="8baa01ab-7cf8-4360-9f3f-f87b1ec95c26"/>
    <xsd:import namespace="d481fc2a-e230-47f7-a716-4f7f4b27a8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aa01ab-7cf8-4360-9f3f-f87b1ec95c2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834da80-57da-4863-8816-2e6886d1e8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1fc2a-e230-47f7-a716-4f7f4b27a8e6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ecfc5ee6-7d58-48d6-9bdd-8a371e73af6e}" ma:internalName="TaxCatchAll" ma:showField="CatchAllData" ma:web="d481fc2a-e230-47f7-a716-4f7f4b27a8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82D478-F143-4E1A-BE03-DF93E0476218}">
  <ds:schemaRefs>
    <ds:schemaRef ds:uri="http://schemas.microsoft.com/office/2006/metadata/properties"/>
    <ds:schemaRef ds:uri="http://schemas.microsoft.com/office/infopath/2007/PartnerControls"/>
    <ds:schemaRef ds:uri="8baa01ab-7cf8-4360-9f3f-f87b1ec95c26"/>
    <ds:schemaRef ds:uri="d481fc2a-e230-47f7-a716-4f7f4b27a8e6"/>
  </ds:schemaRefs>
</ds:datastoreItem>
</file>

<file path=customXml/itemProps2.xml><?xml version="1.0" encoding="utf-8"?>
<ds:datastoreItem xmlns:ds="http://schemas.openxmlformats.org/officeDocument/2006/customXml" ds:itemID="{F33A64FD-BD8E-4A10-881A-543F22FB0B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aa01ab-7cf8-4360-9f3f-f87b1ec95c26"/>
    <ds:schemaRef ds:uri="d481fc2a-e230-47f7-a716-4f7f4b27a8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B2C9E99-917F-4BDF-B9E4-ADA5D0AFF133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Prilliman, Matthew</dc:creator>
  <cp:lastModifiedBy>Mirletz, Brian</cp:lastModifiedBy>
  <dcterms:created xsi:type="dcterms:W3CDTF">2025-12-19T17:47:41Z</dcterms:created>
  <dcterms:modified xsi:type="dcterms:W3CDTF">2026-08-24T20:47:00Z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0x010100A788E4FEB44D0B4CB1AD2E9A3A83F076</vt:lpwstr>
  </property>
  <property fmtid="{D5CDD505-2E9C-101B-9397-08002B2CF9AE}" pid="3" name="MediaServiceImageTags">
    <vt:lpwstr/>
  </property>
</Properties>
</file>