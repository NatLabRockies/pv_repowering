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line\Documents\Python Scripts\pv_repowering\Studies\Journal - Simon Solar captest\plots\"/>
    </mc:Choice>
  </mc:AlternateContent>
  <xr:revisionPtr revIDLastSave="0" documentId="13_ncr:1_{72F279AB-2BCB-40C1-AC30-198F6F57735C}" xr6:coauthVersionLast="47" xr6:coauthVersionMax="47" xr10:uidLastSave="{00000000-0000-0000-0000-000000000000}"/>
  <bookViews>
    <workbookView xWindow="-28920" yWindow="-6360" windowWidth="29040" windowHeight="15720" activeTab="1" xr2:uid="{04F1D575-AB74-4BA9-9193-B5993F01A15B}"/>
  </bookViews>
  <sheets>
    <sheet name="Simon" sheetId="2" r:id="rId1"/>
    <sheet name="Simon_cdelin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C48" i="3" s="1"/>
  <c r="C49" i="3" s="1"/>
  <c r="C50" i="3" s="1"/>
  <c r="B67" i="3"/>
  <c r="B68" i="3" s="1"/>
  <c r="F67" i="3"/>
  <c r="F68" i="3"/>
  <c r="F40" i="3"/>
  <c r="F41" i="3"/>
  <c r="F42" i="3"/>
  <c r="F43" i="3"/>
  <c r="F44" i="3"/>
  <c r="F45" i="3"/>
  <c r="F46" i="3"/>
  <c r="F39" i="3"/>
  <c r="D39" i="3"/>
  <c r="F51" i="3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38" i="2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B39" i="2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39" i="3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F52" i="2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E63" i="2"/>
  <c r="E41" i="2"/>
  <c r="E42" i="2"/>
  <c r="E43" i="2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40" i="2"/>
  <c r="C51" i="2"/>
  <c r="C52" i="2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50" i="2"/>
  <c r="C41" i="2"/>
  <c r="C42" i="2"/>
  <c r="C43" i="2"/>
  <c r="C44" i="2" s="1"/>
  <c r="C45" i="2" s="1"/>
  <c r="C46" i="2" s="1"/>
  <c r="C47" i="2" s="1"/>
  <c r="C48" i="2" s="1"/>
  <c r="C49" i="2" s="1"/>
  <c r="C40" i="2"/>
  <c r="F51" i="2"/>
  <c r="E39" i="2"/>
  <c r="D39" i="2"/>
  <c r="C39" i="2"/>
  <c r="U28" i="3"/>
  <c r="T28" i="3"/>
  <c r="S28" i="3"/>
  <c r="R28" i="3"/>
  <c r="P28" i="3"/>
  <c r="O28" i="3"/>
  <c r="N28" i="3"/>
  <c r="M28" i="3"/>
  <c r="U27" i="3"/>
  <c r="T27" i="3"/>
  <c r="S27" i="3"/>
  <c r="R27" i="3"/>
  <c r="P27" i="3"/>
  <c r="O27" i="3"/>
  <c r="N27" i="3"/>
  <c r="M27" i="3"/>
  <c r="U26" i="3"/>
  <c r="T26" i="3"/>
  <c r="S26" i="3"/>
  <c r="R26" i="3"/>
  <c r="P26" i="3"/>
  <c r="O26" i="3"/>
  <c r="N26" i="3"/>
  <c r="M26" i="3"/>
  <c r="U25" i="3"/>
  <c r="T25" i="3"/>
  <c r="S25" i="3"/>
  <c r="R25" i="3"/>
  <c r="P25" i="3"/>
  <c r="O25" i="3"/>
  <c r="N25" i="3"/>
  <c r="M25" i="3"/>
  <c r="U24" i="3"/>
  <c r="T24" i="3"/>
  <c r="S24" i="3"/>
  <c r="R24" i="3"/>
  <c r="P24" i="3"/>
  <c r="O24" i="3"/>
  <c r="N24" i="3"/>
  <c r="M24" i="3"/>
  <c r="U23" i="3"/>
  <c r="T23" i="3"/>
  <c r="S23" i="3"/>
  <c r="R23" i="3"/>
  <c r="P23" i="3"/>
  <c r="O23" i="3"/>
  <c r="N23" i="3"/>
  <c r="M23" i="3"/>
  <c r="U22" i="3"/>
  <c r="T22" i="3"/>
  <c r="S22" i="3"/>
  <c r="R22" i="3"/>
  <c r="P22" i="3"/>
  <c r="O22" i="3"/>
  <c r="N22" i="3"/>
  <c r="M22" i="3"/>
  <c r="U21" i="3"/>
  <c r="T21" i="3"/>
  <c r="S21" i="3"/>
  <c r="R21" i="3"/>
  <c r="P21" i="3"/>
  <c r="O21" i="3"/>
  <c r="N21" i="3"/>
  <c r="M21" i="3"/>
  <c r="U20" i="3"/>
  <c r="T20" i="3"/>
  <c r="S20" i="3"/>
  <c r="R20" i="3"/>
  <c r="P20" i="3"/>
  <c r="O20" i="3"/>
  <c r="N20" i="3"/>
  <c r="M20" i="3"/>
  <c r="U19" i="3"/>
  <c r="T19" i="3"/>
  <c r="S19" i="3"/>
  <c r="R19" i="3"/>
  <c r="P19" i="3"/>
  <c r="O19" i="3"/>
  <c r="N19" i="3"/>
  <c r="M19" i="3"/>
  <c r="U18" i="3"/>
  <c r="T18" i="3"/>
  <c r="S18" i="3"/>
  <c r="R18" i="3"/>
  <c r="P18" i="3"/>
  <c r="O18" i="3"/>
  <c r="N18" i="3"/>
  <c r="M18" i="3"/>
  <c r="U17" i="3"/>
  <c r="T17" i="3"/>
  <c r="S17" i="3"/>
  <c r="R17" i="3"/>
  <c r="P17" i="3"/>
  <c r="O17" i="3"/>
  <c r="N17" i="3"/>
  <c r="M17" i="3"/>
  <c r="U16" i="3"/>
  <c r="T16" i="3"/>
  <c r="S16" i="3"/>
  <c r="R16" i="3"/>
  <c r="P16" i="3"/>
  <c r="O16" i="3"/>
  <c r="N16" i="3"/>
  <c r="M16" i="3"/>
  <c r="U15" i="3"/>
  <c r="T15" i="3"/>
  <c r="S15" i="3"/>
  <c r="R15" i="3"/>
  <c r="P15" i="3"/>
  <c r="O15" i="3"/>
  <c r="N15" i="3"/>
  <c r="M15" i="3"/>
  <c r="U14" i="3"/>
  <c r="T14" i="3"/>
  <c r="S14" i="3"/>
  <c r="R14" i="3"/>
  <c r="P14" i="3"/>
  <c r="O14" i="3"/>
  <c r="N14" i="3"/>
  <c r="M14" i="3"/>
  <c r="U13" i="3"/>
  <c r="T13" i="3"/>
  <c r="S13" i="3"/>
  <c r="R13" i="3"/>
  <c r="P13" i="3"/>
  <c r="O13" i="3"/>
  <c r="N13" i="3"/>
  <c r="M13" i="3"/>
  <c r="U12" i="3"/>
  <c r="T12" i="3"/>
  <c r="S12" i="3"/>
  <c r="R12" i="3"/>
  <c r="P12" i="3"/>
  <c r="O12" i="3"/>
  <c r="N12" i="3"/>
  <c r="M12" i="3"/>
  <c r="U11" i="3"/>
  <c r="T11" i="3"/>
  <c r="S11" i="3"/>
  <c r="R11" i="3"/>
  <c r="P11" i="3"/>
  <c r="O11" i="3"/>
  <c r="N11" i="3"/>
  <c r="M11" i="3"/>
  <c r="U10" i="3"/>
  <c r="T10" i="3"/>
  <c r="S10" i="3"/>
  <c r="R10" i="3"/>
  <c r="P10" i="3"/>
  <c r="O10" i="3"/>
  <c r="N10" i="3"/>
  <c r="M10" i="3"/>
  <c r="U9" i="3"/>
  <c r="T9" i="3"/>
  <c r="S9" i="3"/>
  <c r="R9" i="3"/>
  <c r="P9" i="3"/>
  <c r="O9" i="3"/>
  <c r="N9" i="3"/>
  <c r="M9" i="3"/>
  <c r="U8" i="3"/>
  <c r="T8" i="3"/>
  <c r="S8" i="3"/>
  <c r="R8" i="3"/>
  <c r="P8" i="3"/>
  <c r="O8" i="3"/>
  <c r="N8" i="3"/>
  <c r="M8" i="3"/>
  <c r="U7" i="3"/>
  <c r="T7" i="3"/>
  <c r="S7" i="3"/>
  <c r="R7" i="3"/>
  <c r="P7" i="3"/>
  <c r="O7" i="3"/>
  <c r="N7" i="3"/>
  <c r="M7" i="3"/>
  <c r="U6" i="3"/>
  <c r="T6" i="3"/>
  <c r="S6" i="3"/>
  <c r="R6" i="3"/>
  <c r="P6" i="3"/>
  <c r="O6" i="3"/>
  <c r="N6" i="3"/>
  <c r="M6" i="3"/>
  <c r="U5" i="3"/>
  <c r="T5" i="3"/>
  <c r="S5" i="3"/>
  <c r="R5" i="3"/>
  <c r="P5" i="3"/>
  <c r="O5" i="3"/>
  <c r="N5" i="3"/>
  <c r="M5" i="3"/>
  <c r="U4" i="3"/>
  <c r="T4" i="3"/>
  <c r="S4" i="3"/>
  <c r="R4" i="3"/>
  <c r="P4" i="3"/>
  <c r="O4" i="3"/>
  <c r="N4" i="3"/>
  <c r="M4" i="3"/>
  <c r="Z3" i="3"/>
  <c r="Z4" i="3" s="1"/>
  <c r="Z5" i="3" s="1"/>
  <c r="X3" i="3"/>
  <c r="X4" i="3" s="1"/>
  <c r="W3" i="3"/>
  <c r="W4" i="3" s="1"/>
  <c r="U3" i="3"/>
  <c r="T3" i="3"/>
  <c r="S3" i="3"/>
  <c r="R3" i="3"/>
  <c r="P3" i="3"/>
  <c r="O3" i="3"/>
  <c r="Y3" i="3" s="1"/>
  <c r="N3" i="3"/>
  <c r="M3" i="3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X3" i="2" s="1"/>
  <c r="X4" i="2" s="1"/>
  <c r="X5" i="2" s="1"/>
  <c r="X6" i="2" s="1"/>
  <c r="X7" i="2" s="1"/>
  <c r="X8" i="2" s="1"/>
  <c r="X9" i="2" s="1"/>
  <c r="X10" i="2" s="1"/>
  <c r="X11" i="2" s="1"/>
  <c r="R24" i="2"/>
  <c r="T24" i="2"/>
  <c r="U24" i="2"/>
  <c r="R25" i="2"/>
  <c r="T25" i="2"/>
  <c r="U25" i="2"/>
  <c r="R26" i="2"/>
  <c r="T26" i="2"/>
  <c r="U26" i="2"/>
  <c r="R27" i="2"/>
  <c r="T27" i="2"/>
  <c r="U27" i="2"/>
  <c r="R28" i="2"/>
  <c r="T28" i="2"/>
  <c r="U28" i="2"/>
  <c r="M4" i="2"/>
  <c r="O4" i="2"/>
  <c r="P4" i="2"/>
  <c r="R4" i="2"/>
  <c r="T4" i="2"/>
  <c r="U4" i="2"/>
  <c r="M5" i="2"/>
  <c r="O5" i="2"/>
  <c r="P5" i="2"/>
  <c r="R5" i="2"/>
  <c r="T5" i="2"/>
  <c r="U5" i="2"/>
  <c r="M6" i="2"/>
  <c r="O6" i="2"/>
  <c r="P6" i="2"/>
  <c r="R6" i="2"/>
  <c r="T6" i="2"/>
  <c r="U6" i="2"/>
  <c r="M7" i="2"/>
  <c r="O7" i="2"/>
  <c r="P7" i="2"/>
  <c r="R7" i="2"/>
  <c r="T7" i="2"/>
  <c r="U7" i="2"/>
  <c r="M8" i="2"/>
  <c r="O8" i="2"/>
  <c r="P8" i="2"/>
  <c r="R8" i="2"/>
  <c r="T8" i="2"/>
  <c r="U8" i="2"/>
  <c r="M9" i="2"/>
  <c r="O9" i="2"/>
  <c r="P9" i="2"/>
  <c r="R9" i="2"/>
  <c r="T9" i="2"/>
  <c r="U9" i="2"/>
  <c r="M10" i="2"/>
  <c r="O10" i="2"/>
  <c r="P10" i="2"/>
  <c r="R10" i="2"/>
  <c r="T10" i="2"/>
  <c r="U10" i="2"/>
  <c r="M11" i="2"/>
  <c r="O11" i="2"/>
  <c r="P11" i="2"/>
  <c r="R11" i="2"/>
  <c r="T11" i="2"/>
  <c r="U11" i="2"/>
  <c r="M12" i="2"/>
  <c r="O12" i="2"/>
  <c r="P12" i="2"/>
  <c r="R12" i="2"/>
  <c r="T12" i="2"/>
  <c r="U12" i="2"/>
  <c r="M13" i="2"/>
  <c r="O13" i="2"/>
  <c r="P13" i="2"/>
  <c r="R13" i="2"/>
  <c r="T13" i="2"/>
  <c r="U13" i="2"/>
  <c r="M14" i="2"/>
  <c r="O14" i="2"/>
  <c r="P14" i="2"/>
  <c r="R14" i="2"/>
  <c r="T14" i="2"/>
  <c r="U14" i="2"/>
  <c r="M15" i="2"/>
  <c r="O15" i="2"/>
  <c r="P15" i="2"/>
  <c r="R15" i="2"/>
  <c r="T15" i="2"/>
  <c r="U15" i="2"/>
  <c r="M16" i="2"/>
  <c r="O16" i="2"/>
  <c r="P16" i="2"/>
  <c r="R16" i="2"/>
  <c r="T16" i="2"/>
  <c r="U16" i="2"/>
  <c r="M17" i="2"/>
  <c r="O17" i="2"/>
  <c r="P17" i="2"/>
  <c r="R17" i="2"/>
  <c r="T17" i="2"/>
  <c r="U17" i="2"/>
  <c r="M18" i="2"/>
  <c r="O18" i="2"/>
  <c r="P18" i="2"/>
  <c r="R18" i="2"/>
  <c r="T18" i="2"/>
  <c r="U18" i="2"/>
  <c r="M19" i="2"/>
  <c r="O19" i="2"/>
  <c r="P19" i="2"/>
  <c r="R19" i="2"/>
  <c r="T19" i="2"/>
  <c r="U19" i="2"/>
  <c r="M20" i="2"/>
  <c r="O20" i="2"/>
  <c r="P20" i="2"/>
  <c r="R20" i="2"/>
  <c r="T20" i="2"/>
  <c r="U20" i="2"/>
  <c r="M21" i="2"/>
  <c r="O21" i="2"/>
  <c r="P21" i="2"/>
  <c r="R21" i="2"/>
  <c r="T21" i="2"/>
  <c r="U21" i="2"/>
  <c r="M22" i="2"/>
  <c r="O22" i="2"/>
  <c r="P22" i="2"/>
  <c r="R22" i="2"/>
  <c r="T22" i="2"/>
  <c r="U22" i="2"/>
  <c r="M23" i="2"/>
  <c r="O23" i="2"/>
  <c r="P23" i="2"/>
  <c r="R23" i="2"/>
  <c r="T23" i="2"/>
  <c r="U23" i="2"/>
  <c r="M24" i="2"/>
  <c r="O24" i="2"/>
  <c r="P24" i="2"/>
  <c r="M25" i="2"/>
  <c r="O25" i="2"/>
  <c r="P25" i="2"/>
  <c r="M26" i="2"/>
  <c r="O26" i="2"/>
  <c r="P26" i="2"/>
  <c r="M27" i="2"/>
  <c r="O27" i="2"/>
  <c r="P27" i="2"/>
  <c r="M28" i="2"/>
  <c r="O28" i="2"/>
  <c r="P28" i="2"/>
  <c r="O3" i="2"/>
  <c r="Y3" i="2" s="1"/>
  <c r="P3" i="2"/>
  <c r="Z3" i="2" s="1"/>
  <c r="R3" i="2"/>
  <c r="T3" i="2"/>
  <c r="U3" i="2"/>
  <c r="M3" i="2"/>
  <c r="W3" i="2" s="1"/>
  <c r="W4" i="2" s="1"/>
  <c r="C51" i="3" l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D50" i="3"/>
  <c r="D51" i="3"/>
  <c r="D53" i="3"/>
  <c r="D52" i="3"/>
  <c r="Y4" i="3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Z6" i="3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X5" i="3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W5" i="3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D40" i="3"/>
  <c r="D50" i="2"/>
  <c r="D40" i="2"/>
  <c r="X12" i="2"/>
  <c r="X13" i="2" s="1"/>
  <c r="X14" i="2" s="1"/>
  <c r="X15" i="2"/>
  <c r="X16" i="2" s="1"/>
  <c r="X17" i="2" s="1"/>
  <c r="X18" i="2" s="1"/>
  <c r="X19" i="2" s="1"/>
  <c r="X20" i="2" s="1"/>
  <c r="X21" i="2" s="1"/>
  <c r="X22" i="2" s="1"/>
  <c r="X23" i="2" s="1"/>
  <c r="Z4" i="2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Y4" i="2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D54" i="3" l="1"/>
  <c r="D41" i="3"/>
  <c r="D51" i="2"/>
  <c r="D41" i="2"/>
  <c r="D55" i="3" l="1"/>
  <c r="D42" i="3"/>
  <c r="D52" i="2"/>
  <c r="D42" i="2"/>
  <c r="D56" i="3" l="1"/>
  <c r="D43" i="3"/>
  <c r="D53" i="2"/>
  <c r="D43" i="2"/>
  <c r="D57" i="3" l="1"/>
  <c r="D44" i="3"/>
  <c r="D44" i="2"/>
  <c r="D58" i="3" l="1"/>
  <c r="D45" i="3"/>
  <c r="D54" i="2"/>
  <c r="D55" i="2"/>
  <c r="D45" i="2"/>
  <c r="D59" i="3" l="1"/>
  <c r="D46" i="3"/>
  <c r="F47" i="3"/>
  <c r="D46" i="2"/>
  <c r="D56" i="2"/>
  <c r="D60" i="3" l="1"/>
  <c r="F48" i="3"/>
  <c r="D47" i="3"/>
  <c r="D47" i="2"/>
  <c r="D57" i="2"/>
  <c r="D61" i="3" l="1"/>
  <c r="D48" i="3"/>
  <c r="F49" i="3"/>
  <c r="D48" i="2"/>
  <c r="D58" i="2"/>
  <c r="D63" i="3" l="1"/>
  <c r="D62" i="3"/>
  <c r="D49" i="3"/>
  <c r="D59" i="2"/>
  <c r="D49" i="2"/>
  <c r="D60" i="2" l="1"/>
  <c r="D61" i="2" l="1"/>
  <c r="D63" i="2" l="1"/>
  <c r="D62" i="2"/>
</calcChain>
</file>

<file path=xl/sharedStrings.xml><?xml version="1.0" encoding="utf-8"?>
<sst xmlns="http://schemas.openxmlformats.org/spreadsheetml/2006/main" count="68" uniqueCount="18">
  <si>
    <t>Year</t>
  </si>
  <si>
    <t>After Tax Cashflow</t>
  </si>
  <si>
    <t>Baseline</t>
  </si>
  <si>
    <t>Decommissioning</t>
  </si>
  <si>
    <t>Repowering</t>
  </si>
  <si>
    <t>After Tax NPV</t>
  </si>
  <si>
    <t>Do Nothing</t>
  </si>
  <si>
    <t>Decommission</t>
  </si>
  <si>
    <t>Repower</t>
  </si>
  <si>
    <t>Payback time</t>
  </si>
  <si>
    <t>Repair</t>
  </si>
  <si>
    <t>Time stamp</t>
  </si>
  <si>
    <t>Total after-tax returns | ($)</t>
  </si>
  <si>
    <t>After-tax cumulative NPV | ($)</t>
  </si>
  <si>
    <t>Crappy</t>
  </si>
  <si>
    <t>Median degradation</t>
  </si>
  <si>
    <t>Repowered degradation</t>
  </si>
  <si>
    <t>&lt;- Repair / repower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</si>
</sst>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3" borderId="0" xfId="0" applyNumberFormat="1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Cashflow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86167843477394"/>
          <c:y val="0.17171296296296296"/>
          <c:w val="0.80621175365127551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Simon!$M$2</c:f>
              <c:strCache>
                <c:ptCount val="1"/>
                <c:pt idx="0">
                  <c:v>Do Nothing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Simon!$M$3:$M$26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2.2539799999999999</c:v>
                </c:pt>
                <c:pt idx="3">
                  <c:v>1.3069299999999999</c:v>
                </c:pt>
                <c:pt idx="4">
                  <c:v>0.67631300000000005</c:v>
                </c:pt>
                <c:pt idx="5">
                  <c:v>0.52238200000000001</c:v>
                </c:pt>
                <c:pt idx="6">
                  <c:v>2.4079699999999997E-3</c:v>
                </c:pt>
                <c:pt idx="7">
                  <c:v>-0.52238899999999999</c:v>
                </c:pt>
                <c:pt idx="8">
                  <c:v>-0.69123999999999997</c:v>
                </c:pt>
                <c:pt idx="9">
                  <c:v>-0.86580699999999999</c:v>
                </c:pt>
                <c:pt idx="10">
                  <c:v>-1.0464800000000001</c:v>
                </c:pt>
                <c:pt idx="11">
                  <c:v>-1.2334099999999999</c:v>
                </c:pt>
                <c:pt idx="12">
                  <c:v>-0.13131699999999999</c:v>
                </c:pt>
                <c:pt idx="13">
                  <c:v>1.0237400000000001</c:v>
                </c:pt>
                <c:pt idx="14">
                  <c:v>0.94887999999999995</c:v>
                </c:pt>
                <c:pt idx="15">
                  <c:v>0.87232799999999999</c:v>
                </c:pt>
                <c:pt idx="16">
                  <c:v>0.78347199999999995</c:v>
                </c:pt>
                <c:pt idx="17">
                  <c:v>0.692828</c:v>
                </c:pt>
                <c:pt idx="18">
                  <c:v>0.61077599999999999</c:v>
                </c:pt>
                <c:pt idx="19">
                  <c:v>0.52683800000000003</c:v>
                </c:pt>
                <c:pt idx="20">
                  <c:v>0.44098100000000001</c:v>
                </c:pt>
                <c:pt idx="21">
                  <c:v>0.34702499999999997</c:v>
                </c:pt>
                <c:pt idx="22">
                  <c:v>0.251081</c:v>
                </c:pt>
                <c:pt idx="23">
                  <c:v>0.15926199999999999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B-4E3C-B3EC-E29BD5A3492C}"/>
            </c:ext>
          </c:extLst>
        </c:ser>
        <c:ser>
          <c:idx val="2"/>
          <c:order val="1"/>
          <c:tx>
            <c:strRef>
              <c:f>Simon!$O$2</c:f>
              <c:strCache>
                <c:ptCount val="1"/>
                <c:pt idx="0">
                  <c:v>Decommission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Simon!$O$3:$O$26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2.2539799999999999</c:v>
                </c:pt>
                <c:pt idx="3">
                  <c:v>1.3069299999999999</c:v>
                </c:pt>
                <c:pt idx="4">
                  <c:v>0.67631300000000005</c:v>
                </c:pt>
                <c:pt idx="5">
                  <c:v>0.52238200000000001</c:v>
                </c:pt>
                <c:pt idx="6">
                  <c:v>2.4079699999999997E-3</c:v>
                </c:pt>
                <c:pt idx="7">
                  <c:v>-0.52238899999999999</c:v>
                </c:pt>
                <c:pt idx="8">
                  <c:v>-0.69123999999999997</c:v>
                </c:pt>
                <c:pt idx="9">
                  <c:v>-0.86580699999999999</c:v>
                </c:pt>
                <c:pt idx="10">
                  <c:v>-1.0464800000000001</c:v>
                </c:pt>
                <c:pt idx="11">
                  <c:v>-4.3292599999999997</c:v>
                </c:pt>
                <c:pt idx="12">
                  <c:v>-1.0515300000000001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B-4E3C-B3EC-E29BD5A3492C}"/>
            </c:ext>
          </c:extLst>
        </c:ser>
        <c:ser>
          <c:idx val="3"/>
          <c:order val="2"/>
          <c:tx>
            <c:strRef>
              <c:f>Simon!$P$2</c:f>
              <c:strCache>
                <c:ptCount val="1"/>
                <c:pt idx="0">
                  <c:v>Repower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Simon!$P$3:$P$26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2.2539799999999999</c:v>
                </c:pt>
                <c:pt idx="3">
                  <c:v>1.3069299999999999</c:v>
                </c:pt>
                <c:pt idx="4">
                  <c:v>0.67631300000000005</c:v>
                </c:pt>
                <c:pt idx="5">
                  <c:v>0.52238200000000001</c:v>
                </c:pt>
                <c:pt idx="6">
                  <c:v>2.4079699999999997E-3</c:v>
                </c:pt>
                <c:pt idx="7">
                  <c:v>-0.52238899999999999</c:v>
                </c:pt>
                <c:pt idx="8">
                  <c:v>-0.69123999999999997</c:v>
                </c:pt>
                <c:pt idx="9">
                  <c:v>-0.86580699999999999</c:v>
                </c:pt>
                <c:pt idx="10">
                  <c:v>-1.0464800000000001</c:v>
                </c:pt>
                <c:pt idx="11">
                  <c:v>-23.018799999999999</c:v>
                </c:pt>
                <c:pt idx="12">
                  <c:v>-10.077299999999999</c:v>
                </c:pt>
                <c:pt idx="13">
                  <c:v>2.7426200000000001</c:v>
                </c:pt>
                <c:pt idx="14">
                  <c:v>2.7341600000000001</c:v>
                </c:pt>
                <c:pt idx="15">
                  <c:v>2.7251500000000002</c:v>
                </c:pt>
                <c:pt idx="16">
                  <c:v>2.7049799999999999</c:v>
                </c:pt>
                <c:pt idx="17">
                  <c:v>2.6842199999999998</c:v>
                </c:pt>
                <c:pt idx="18">
                  <c:v>2.6732499999999999</c:v>
                </c:pt>
                <c:pt idx="19">
                  <c:v>2.6616</c:v>
                </c:pt>
                <c:pt idx="20">
                  <c:v>2.6492599999999999</c:v>
                </c:pt>
                <c:pt idx="21">
                  <c:v>2.63008</c:v>
                </c:pt>
                <c:pt idx="22">
                  <c:v>2.6101700000000001</c:v>
                </c:pt>
                <c:pt idx="23">
                  <c:v>2.5956800000000002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0-4557-8A55-C25961E7B952}"/>
            </c:ext>
          </c:extLst>
        </c:ser>
        <c:ser>
          <c:idx val="1"/>
          <c:order val="3"/>
          <c:tx>
            <c:strRef>
              <c:f>Simon!$N$2</c:f>
              <c:strCache>
                <c:ptCount val="1"/>
                <c:pt idx="0">
                  <c:v>Repair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Simon!$N$3:$N$26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2.2539799999999999</c:v>
                </c:pt>
                <c:pt idx="3">
                  <c:v>1.3069299999999999</c:v>
                </c:pt>
                <c:pt idx="4">
                  <c:v>0.67631300000000005</c:v>
                </c:pt>
                <c:pt idx="5">
                  <c:v>0.52238200000000001</c:v>
                </c:pt>
                <c:pt idx="6">
                  <c:v>2.4079699999999997E-3</c:v>
                </c:pt>
                <c:pt idx="7">
                  <c:v>-0.52238899999999999</c:v>
                </c:pt>
                <c:pt idx="8">
                  <c:v>-0.69123999999999997</c:v>
                </c:pt>
                <c:pt idx="9">
                  <c:v>-0.86580699999999999</c:v>
                </c:pt>
                <c:pt idx="10">
                  <c:v>-1.0464800000000001</c:v>
                </c:pt>
                <c:pt idx="11">
                  <c:v>-3.6678099999999998</c:v>
                </c:pt>
                <c:pt idx="12">
                  <c:v>-1.24272</c:v>
                </c:pt>
                <c:pt idx="13">
                  <c:v>1.86574</c:v>
                </c:pt>
                <c:pt idx="14">
                  <c:v>1.7992600000000001</c:v>
                </c:pt>
                <c:pt idx="15">
                  <c:v>1.7311799999999999</c:v>
                </c:pt>
                <c:pt idx="16">
                  <c:v>1.6508799999999999</c:v>
                </c:pt>
                <c:pt idx="17">
                  <c:v>1.56887</c:v>
                </c:pt>
                <c:pt idx="18">
                  <c:v>1.4955400000000001</c:v>
                </c:pt>
                <c:pt idx="19">
                  <c:v>1.4204000000000001</c:v>
                </c:pt>
                <c:pt idx="20">
                  <c:v>1.34344</c:v>
                </c:pt>
                <c:pt idx="21">
                  <c:v>1.2584599999999999</c:v>
                </c:pt>
                <c:pt idx="22">
                  <c:v>1.1715800000000001</c:v>
                </c:pt>
                <c:pt idx="23">
                  <c:v>1.08891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B-4E3C-B3EC-E29BD5A3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552936"/>
        <c:axId val="937551856"/>
      </c:barChart>
      <c:catAx>
        <c:axId val="937552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51856"/>
        <c:crosses val="autoZero"/>
        <c:auto val="1"/>
        <c:lblAlgn val="ctr"/>
        <c:lblOffset val="100"/>
        <c:noMultiLvlLbl val="0"/>
      </c:catAx>
      <c:valAx>
        <c:axId val="93755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5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920" b="0" i="0" u="none" strike="noStrike" kern="1200" spc="0" baseline="0">
                <a:solidFill>
                  <a:sysClr val="windowText" lastClr="000000"/>
                </a:solidFill>
              </a:rPr>
              <a:t>Cumulative Net Present Value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81809163618331"/>
          <c:y val="0.20098977073753074"/>
          <c:w val="0.80308479550292422"/>
          <c:h val="0.60270547615703174"/>
        </c:manualLayout>
      </c:layout>
      <c:lineChart>
        <c:grouping val="standard"/>
        <c:varyColors val="0"/>
        <c:ser>
          <c:idx val="0"/>
          <c:order val="0"/>
          <c:tx>
            <c:strRef>
              <c:f>Simon!$R$2</c:f>
              <c:strCache>
                <c:ptCount val="1"/>
                <c:pt idx="0">
                  <c:v>Do Nothing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Simon!$R$3:$R$28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-2.5281600000000002</c:v>
                </c:pt>
                <c:pt idx="3">
                  <c:v>-1.5206299999999999</c:v>
                </c:pt>
                <c:pt idx="4">
                  <c:v>-1.04257</c:v>
                </c:pt>
                <c:pt idx="5">
                  <c:v>-0.70398700000000003</c:v>
                </c:pt>
                <c:pt idx="6">
                  <c:v>-0.70255599999999996</c:v>
                </c:pt>
                <c:pt idx="7">
                  <c:v>-0.98722200000000004</c:v>
                </c:pt>
                <c:pt idx="8">
                  <c:v>-1.3326100000000001</c:v>
                </c:pt>
                <c:pt idx="9">
                  <c:v>-1.7292799999999999</c:v>
                </c:pt>
                <c:pt idx="10">
                  <c:v>-2.1688999999999998</c:v>
                </c:pt>
                <c:pt idx="11">
                  <c:v>-2.6440000000000001</c:v>
                </c:pt>
                <c:pt idx="12">
                  <c:v>-2.6903800000000002</c:v>
                </c:pt>
                <c:pt idx="13">
                  <c:v>-2.3588399999999998</c:v>
                </c:pt>
                <c:pt idx="14">
                  <c:v>-2.07707</c:v>
                </c:pt>
                <c:pt idx="15">
                  <c:v>-1.83955</c:v>
                </c:pt>
                <c:pt idx="16">
                  <c:v>-1.64394</c:v>
                </c:pt>
                <c:pt idx="17">
                  <c:v>-1.4853400000000001</c:v>
                </c:pt>
                <c:pt idx="18">
                  <c:v>-1.35714</c:v>
                </c:pt>
                <c:pt idx="19">
                  <c:v>-1.2557400000000001</c:v>
                </c:pt>
                <c:pt idx="20">
                  <c:v>-1.17791</c:v>
                </c:pt>
                <c:pt idx="21">
                  <c:v>-1.1217600000000001</c:v>
                </c:pt>
                <c:pt idx="22">
                  <c:v>-1.0845100000000001</c:v>
                </c:pt>
                <c:pt idx="23">
                  <c:v>-1.06284</c:v>
                </c:pt>
                <c:pt idx="24">
                  <c:v>-1.0546800000000001</c:v>
                </c:pt>
                <c:pt idx="25">
                  <c:v>-0.98041699999999998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5-4E08-808D-68AF4449679B}"/>
            </c:ext>
          </c:extLst>
        </c:ser>
        <c:ser>
          <c:idx val="1"/>
          <c:order val="1"/>
          <c:tx>
            <c:strRef>
              <c:f>Simon!$T$2</c:f>
              <c:strCache>
                <c:ptCount val="1"/>
                <c:pt idx="0">
                  <c:v>Decommission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Simon!$T$3:$T$15</c:f>
              <c:numCache>
                <c:formatCode>0.00</c:formatCode>
                <c:ptCount val="13"/>
                <c:pt idx="0">
                  <c:v>-13.5573</c:v>
                </c:pt>
                <c:pt idx="1">
                  <c:v>-4.4231999999999996</c:v>
                </c:pt>
                <c:pt idx="2">
                  <c:v>-2.5281600000000002</c:v>
                </c:pt>
                <c:pt idx="3">
                  <c:v>-1.5206299999999999</c:v>
                </c:pt>
                <c:pt idx="4">
                  <c:v>-1.04257</c:v>
                </c:pt>
                <c:pt idx="5">
                  <c:v>-0.70398700000000003</c:v>
                </c:pt>
                <c:pt idx="6">
                  <c:v>-0.70255599999999996</c:v>
                </c:pt>
                <c:pt idx="7">
                  <c:v>-0.98722200000000004</c:v>
                </c:pt>
                <c:pt idx="8">
                  <c:v>-1.3326100000000001</c:v>
                </c:pt>
                <c:pt idx="9">
                  <c:v>-1.7292799999999999</c:v>
                </c:pt>
                <c:pt idx="10">
                  <c:v>-2.1688999999999998</c:v>
                </c:pt>
                <c:pt idx="11">
                  <c:v>-3.8365</c:v>
                </c:pt>
                <c:pt idx="12">
                  <c:v>-4.2079000000000004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5-4E08-808D-68AF4449679B}"/>
            </c:ext>
          </c:extLst>
        </c:ser>
        <c:ser>
          <c:idx val="2"/>
          <c:order val="2"/>
          <c:tx>
            <c:strRef>
              <c:f>Simon!$U$2</c:f>
              <c:strCache>
                <c:ptCount val="1"/>
                <c:pt idx="0">
                  <c:v>Repower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Simon!$U$3:$U$28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-2.5281600000000002</c:v>
                </c:pt>
                <c:pt idx="3">
                  <c:v>-1.5206299999999999</c:v>
                </c:pt>
                <c:pt idx="4">
                  <c:v>-1.04257</c:v>
                </c:pt>
                <c:pt idx="5">
                  <c:v>-0.70398700000000003</c:v>
                </c:pt>
                <c:pt idx="6">
                  <c:v>-0.70255599999999996</c:v>
                </c:pt>
                <c:pt idx="7">
                  <c:v>-0.98722200000000004</c:v>
                </c:pt>
                <c:pt idx="8">
                  <c:v>-1.3326100000000001</c:v>
                </c:pt>
                <c:pt idx="9">
                  <c:v>-1.7292799999999999</c:v>
                </c:pt>
                <c:pt idx="10">
                  <c:v>-2.1688999999999998</c:v>
                </c:pt>
                <c:pt idx="11">
                  <c:v>-11.035600000000001</c:v>
                </c:pt>
                <c:pt idx="12">
                  <c:v>-14.594799999999999</c:v>
                </c:pt>
                <c:pt idx="13">
                  <c:v>-13.7066</c:v>
                </c:pt>
                <c:pt idx="14">
                  <c:v>-12.8947</c:v>
                </c:pt>
                <c:pt idx="15">
                  <c:v>-12.152699999999999</c:v>
                </c:pt>
                <c:pt idx="16">
                  <c:v>-11.477399999999999</c:v>
                </c:pt>
                <c:pt idx="17">
                  <c:v>-10.8629</c:v>
                </c:pt>
                <c:pt idx="18">
                  <c:v>-10.3018</c:v>
                </c:pt>
                <c:pt idx="19">
                  <c:v>-9.7895000000000003</c:v>
                </c:pt>
                <c:pt idx="20">
                  <c:v>-9.3219600000000007</c:v>
                </c:pt>
                <c:pt idx="21">
                  <c:v>-8.8963699999999992</c:v>
                </c:pt>
                <c:pt idx="22">
                  <c:v>-8.5090800000000009</c:v>
                </c:pt>
                <c:pt idx="23">
                  <c:v>-8.1559500000000007</c:v>
                </c:pt>
                <c:pt idx="24">
                  <c:v>-7.8340500000000004</c:v>
                </c:pt>
                <c:pt idx="25">
                  <c:v>-7.4629599999999998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5-4E08-808D-68AF4449679B}"/>
            </c:ext>
          </c:extLst>
        </c:ser>
        <c:ser>
          <c:idx val="3"/>
          <c:order val="3"/>
          <c:tx>
            <c:strRef>
              <c:f>Simon!$S$2</c:f>
              <c:strCache>
                <c:ptCount val="1"/>
                <c:pt idx="0">
                  <c:v>Repair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Simon!$S$3:$S$28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-2.5281600000000002</c:v>
                </c:pt>
                <c:pt idx="3">
                  <c:v>-1.5206299999999999</c:v>
                </c:pt>
                <c:pt idx="4">
                  <c:v>-1.04257</c:v>
                </c:pt>
                <c:pt idx="5">
                  <c:v>-0.70398700000000003</c:v>
                </c:pt>
                <c:pt idx="6">
                  <c:v>-0.70255599999999996</c:v>
                </c:pt>
                <c:pt idx="7">
                  <c:v>-0.98722200000000004</c:v>
                </c:pt>
                <c:pt idx="8">
                  <c:v>-1.3326100000000001</c:v>
                </c:pt>
                <c:pt idx="9">
                  <c:v>-1.7292799999999999</c:v>
                </c:pt>
                <c:pt idx="10">
                  <c:v>-2.1688999999999998</c:v>
                </c:pt>
                <c:pt idx="11">
                  <c:v>-3.5817100000000002</c:v>
                </c:pt>
                <c:pt idx="12">
                  <c:v>-4.0206400000000002</c:v>
                </c:pt>
                <c:pt idx="13">
                  <c:v>-3.4164099999999999</c:v>
                </c:pt>
                <c:pt idx="14">
                  <c:v>-2.88212</c:v>
                </c:pt>
                <c:pt idx="15">
                  <c:v>-2.4107500000000002</c:v>
                </c:pt>
                <c:pt idx="16">
                  <c:v>-1.9985900000000001</c:v>
                </c:pt>
                <c:pt idx="17">
                  <c:v>-1.63944</c:v>
                </c:pt>
                <c:pt idx="18">
                  <c:v>-1.32552</c:v>
                </c:pt>
                <c:pt idx="19">
                  <c:v>-1.0521400000000001</c:v>
                </c:pt>
                <c:pt idx="20">
                  <c:v>-0.81505700000000003</c:v>
                </c:pt>
                <c:pt idx="21">
                  <c:v>-0.61141599999999996</c:v>
                </c:pt>
                <c:pt idx="22">
                  <c:v>-0.437583</c:v>
                </c:pt>
                <c:pt idx="23">
                  <c:v>-0.289439</c:v>
                </c:pt>
                <c:pt idx="24">
                  <c:v>-0.164159</c:v>
                </c:pt>
                <c:pt idx="25">
                  <c:v>1.8563700000000002E-2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F-4A97-A6B3-4E0A0564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469128"/>
        <c:axId val="924467688"/>
      </c:lineChart>
      <c:catAx>
        <c:axId val="924469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7688"/>
        <c:crosses val="autoZero"/>
        <c:auto val="1"/>
        <c:lblAlgn val="ctr"/>
        <c:lblOffset val="100"/>
        <c:noMultiLvlLbl val="0"/>
      </c:catAx>
      <c:valAx>
        <c:axId val="92446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Cashflow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86167843477394"/>
          <c:y val="0.17171296296296296"/>
          <c:w val="0.80621175365127551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Simon_cdeline!$M$2</c:f>
              <c:strCache>
                <c:ptCount val="1"/>
                <c:pt idx="0">
                  <c:v>Do Nothing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Simon_cdeline!$M$3:$M$26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2.3631099999999998</c:v>
                </c:pt>
                <c:pt idx="3">
                  <c:v>1.5274399999999999</c:v>
                </c:pt>
                <c:pt idx="4">
                  <c:v>0.99451400000000001</c:v>
                </c:pt>
                <c:pt idx="5">
                  <c:v>0.94018500000000005</c:v>
                </c:pt>
                <c:pt idx="6">
                  <c:v>0.51851700000000001</c:v>
                </c:pt>
                <c:pt idx="7">
                  <c:v>2.50978E-2</c:v>
                </c:pt>
                <c:pt idx="8">
                  <c:v>-0.62171200000000004</c:v>
                </c:pt>
                <c:pt idx="9">
                  <c:v>-0.94605799999999995</c:v>
                </c:pt>
                <c:pt idx="10">
                  <c:v>-1.1275200000000001</c:v>
                </c:pt>
                <c:pt idx="11">
                  <c:v>-1.3152600000000001</c:v>
                </c:pt>
                <c:pt idx="12">
                  <c:v>-0.213974</c:v>
                </c:pt>
                <c:pt idx="13">
                  <c:v>0.94026399999999999</c:v>
                </c:pt>
                <c:pt idx="14">
                  <c:v>0.86457099999999998</c:v>
                </c:pt>
                <c:pt idx="15">
                  <c:v>0.78717800000000004</c:v>
                </c:pt>
                <c:pt idx="16">
                  <c:v>0.69747400000000004</c:v>
                </c:pt>
                <c:pt idx="17">
                  <c:v>0.60597199999999996</c:v>
                </c:pt>
                <c:pt idx="18">
                  <c:v>0.52305599999999997</c:v>
                </c:pt>
                <c:pt idx="19">
                  <c:v>0.43824800000000003</c:v>
                </c:pt>
                <c:pt idx="20">
                  <c:v>0.35151199999999999</c:v>
                </c:pt>
                <c:pt idx="21">
                  <c:v>0.25666800000000001</c:v>
                </c:pt>
                <c:pt idx="22">
                  <c:v>0.159832</c:v>
                </c:pt>
                <c:pt idx="23">
                  <c:v>6.711389999999999E-2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CDA-8924-42A83DDC2F0B}"/>
            </c:ext>
          </c:extLst>
        </c:ser>
        <c:ser>
          <c:idx val="2"/>
          <c:order val="1"/>
          <c:tx>
            <c:strRef>
              <c:f>Simon_cdeline!$O$2</c:f>
              <c:strCache>
                <c:ptCount val="1"/>
                <c:pt idx="0">
                  <c:v>Decommission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Simon_cdeline!$O$3:$O$26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2.3631099999999998</c:v>
                </c:pt>
                <c:pt idx="3">
                  <c:v>1.5274399999999999</c:v>
                </c:pt>
                <c:pt idx="4">
                  <c:v>0.99451400000000001</c:v>
                </c:pt>
                <c:pt idx="5">
                  <c:v>0.94018500000000005</c:v>
                </c:pt>
                <c:pt idx="6">
                  <c:v>0.51851700000000001</c:v>
                </c:pt>
                <c:pt idx="7">
                  <c:v>2.50978E-2</c:v>
                </c:pt>
                <c:pt idx="8">
                  <c:v>-0.62171200000000004</c:v>
                </c:pt>
                <c:pt idx="9">
                  <c:v>-0.94605799999999995</c:v>
                </c:pt>
                <c:pt idx="10">
                  <c:v>-1.1275200000000001</c:v>
                </c:pt>
                <c:pt idx="11">
                  <c:v>-4.4111099999999999</c:v>
                </c:pt>
                <c:pt idx="12">
                  <c:v>-1.13419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7-4CDA-8924-42A83DDC2F0B}"/>
            </c:ext>
          </c:extLst>
        </c:ser>
        <c:ser>
          <c:idx val="3"/>
          <c:order val="2"/>
          <c:tx>
            <c:strRef>
              <c:f>Simon_cdeline!$P$2</c:f>
              <c:strCache>
                <c:ptCount val="1"/>
                <c:pt idx="0">
                  <c:v>Repower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Simon_cdeline!$P$3:$P$26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2.3631099999999998</c:v>
                </c:pt>
                <c:pt idx="3">
                  <c:v>1.5274399999999999</c:v>
                </c:pt>
                <c:pt idx="4">
                  <c:v>0.99451400000000001</c:v>
                </c:pt>
                <c:pt idx="5">
                  <c:v>0.94018500000000005</c:v>
                </c:pt>
                <c:pt idx="6">
                  <c:v>0.51851700000000001</c:v>
                </c:pt>
                <c:pt idx="7">
                  <c:v>2.50978E-2</c:v>
                </c:pt>
                <c:pt idx="8">
                  <c:v>-0.62171200000000004</c:v>
                </c:pt>
                <c:pt idx="9">
                  <c:v>-0.94605799999999995</c:v>
                </c:pt>
                <c:pt idx="10">
                  <c:v>-1.1275200000000001</c:v>
                </c:pt>
                <c:pt idx="11">
                  <c:v>-23.1006</c:v>
                </c:pt>
                <c:pt idx="12">
                  <c:v>-10.1599</c:v>
                </c:pt>
                <c:pt idx="13">
                  <c:v>2.7426200000000001</c:v>
                </c:pt>
                <c:pt idx="14">
                  <c:v>2.7341600000000001</c:v>
                </c:pt>
                <c:pt idx="15">
                  <c:v>2.7251500000000002</c:v>
                </c:pt>
                <c:pt idx="16">
                  <c:v>2.7049799999999999</c:v>
                </c:pt>
                <c:pt idx="17">
                  <c:v>2.6842199999999998</c:v>
                </c:pt>
                <c:pt idx="18">
                  <c:v>2.6732499999999999</c:v>
                </c:pt>
                <c:pt idx="19">
                  <c:v>2.6616</c:v>
                </c:pt>
                <c:pt idx="20">
                  <c:v>2.6492599999999999</c:v>
                </c:pt>
                <c:pt idx="21">
                  <c:v>2.63008</c:v>
                </c:pt>
                <c:pt idx="22">
                  <c:v>2.6101700000000001</c:v>
                </c:pt>
                <c:pt idx="23">
                  <c:v>2.5956800000000002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7-4CDA-8924-42A83DDC2F0B}"/>
            </c:ext>
          </c:extLst>
        </c:ser>
        <c:ser>
          <c:idx val="1"/>
          <c:order val="3"/>
          <c:tx>
            <c:strRef>
              <c:f>Simon_cdeline!$N$2</c:f>
              <c:strCache>
                <c:ptCount val="1"/>
                <c:pt idx="0">
                  <c:v>Repair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Simon_cdeline!$N$3:$N$26</c:f>
              <c:numCache>
                <c:formatCode>0.00</c:formatCode>
                <c:ptCount val="24"/>
                <c:pt idx="0">
                  <c:v>-13.5573</c:v>
                </c:pt>
                <c:pt idx="1">
                  <c:v>9.9616699999999998</c:v>
                </c:pt>
                <c:pt idx="2">
                  <c:v>2.3631099999999998</c:v>
                </c:pt>
                <c:pt idx="3">
                  <c:v>1.5274399999999999</c:v>
                </c:pt>
                <c:pt idx="4">
                  <c:v>0.99451400000000001</c:v>
                </c:pt>
                <c:pt idx="5">
                  <c:v>0.94018500000000005</c:v>
                </c:pt>
                <c:pt idx="6">
                  <c:v>0.51851700000000001</c:v>
                </c:pt>
                <c:pt idx="7">
                  <c:v>2.50978E-2</c:v>
                </c:pt>
                <c:pt idx="8">
                  <c:v>-0.62171200000000004</c:v>
                </c:pt>
                <c:pt idx="9">
                  <c:v>-0.94605799999999995</c:v>
                </c:pt>
                <c:pt idx="10">
                  <c:v>-1.1275200000000001</c:v>
                </c:pt>
                <c:pt idx="11">
                  <c:v>-3.74966</c:v>
                </c:pt>
                <c:pt idx="12">
                  <c:v>-1.32538</c:v>
                </c:pt>
                <c:pt idx="13">
                  <c:v>1.6360699999999999</c:v>
                </c:pt>
                <c:pt idx="14">
                  <c:v>1.56731</c:v>
                </c:pt>
                <c:pt idx="15">
                  <c:v>1.49691</c:v>
                </c:pt>
                <c:pt idx="16">
                  <c:v>1.4142699999999999</c:v>
                </c:pt>
                <c:pt idx="17">
                  <c:v>1.3299000000000001</c:v>
                </c:pt>
                <c:pt idx="18">
                  <c:v>1.2541899999999999</c:v>
                </c:pt>
                <c:pt idx="19">
                  <c:v>1.17665</c:v>
                </c:pt>
                <c:pt idx="20">
                  <c:v>1.0972599999999999</c:v>
                </c:pt>
                <c:pt idx="21">
                  <c:v>1.0098400000000001</c:v>
                </c:pt>
                <c:pt idx="22">
                  <c:v>0.92048399999999997</c:v>
                </c:pt>
                <c:pt idx="23">
                  <c:v>0.835318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7-4CDA-8924-42A83DDC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552936"/>
        <c:axId val="937551856"/>
      </c:barChart>
      <c:catAx>
        <c:axId val="937552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51856"/>
        <c:crosses val="autoZero"/>
        <c:auto val="1"/>
        <c:lblAlgn val="ctr"/>
        <c:lblOffset val="0"/>
        <c:noMultiLvlLbl val="0"/>
      </c:catAx>
      <c:valAx>
        <c:axId val="937551856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5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920" b="0" i="0" u="none" strike="noStrike" kern="1200" spc="0" baseline="0">
                <a:solidFill>
                  <a:sysClr val="windowText" lastClr="000000"/>
                </a:solidFill>
              </a:rPr>
              <a:t>Cumulative Net Present Value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81809163618331"/>
          <c:y val="0.20098977073753074"/>
          <c:w val="0.80308479550292422"/>
          <c:h val="0.60270547615703174"/>
        </c:manualLayout>
      </c:layout>
      <c:lineChart>
        <c:grouping val="standard"/>
        <c:varyColors val="0"/>
        <c:ser>
          <c:idx val="0"/>
          <c:order val="0"/>
          <c:tx>
            <c:strRef>
              <c:f>Simon_cdeline!$R$2</c:f>
              <c:strCache>
                <c:ptCount val="1"/>
                <c:pt idx="0">
                  <c:v>Do Nothing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Simon_cdeline!$R$3:$R$28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-2.43641</c:v>
                </c:pt>
                <c:pt idx="3">
                  <c:v>-1.2588900000000001</c:v>
                </c:pt>
                <c:pt idx="4">
                  <c:v>-0.555898</c:v>
                </c:pt>
                <c:pt idx="5">
                  <c:v>5.3478699999999997E-2</c:v>
                </c:pt>
                <c:pt idx="6">
                  <c:v>0.36163400000000001</c:v>
                </c:pt>
                <c:pt idx="7">
                  <c:v>0.37531100000000001</c:v>
                </c:pt>
                <c:pt idx="8">
                  <c:v>6.4664899999999997E-2</c:v>
                </c:pt>
                <c:pt idx="9">
                  <c:v>-0.36877399999999999</c:v>
                </c:pt>
                <c:pt idx="10">
                  <c:v>-0.84243900000000005</c:v>
                </c:pt>
                <c:pt idx="11">
                  <c:v>-1.34907</c:v>
                </c:pt>
                <c:pt idx="12">
                  <c:v>-1.4246399999999999</c:v>
                </c:pt>
                <c:pt idx="13">
                  <c:v>-1.1201300000000001</c:v>
                </c:pt>
                <c:pt idx="14">
                  <c:v>-0.86339999999999995</c:v>
                </c:pt>
                <c:pt idx="15">
                  <c:v>-0.64906600000000003</c:v>
                </c:pt>
                <c:pt idx="16">
                  <c:v>-0.47493299999999999</c:v>
                </c:pt>
                <c:pt idx="17">
                  <c:v>-0.33621299999999998</c:v>
                </c:pt>
                <c:pt idx="18">
                  <c:v>-0.22642200000000001</c:v>
                </c:pt>
                <c:pt idx="19">
                  <c:v>-0.14207400000000001</c:v>
                </c:pt>
                <c:pt idx="20">
                  <c:v>-8.0039699999999991E-2</c:v>
                </c:pt>
                <c:pt idx="21">
                  <c:v>-3.8506400000000003E-2</c:v>
                </c:pt>
                <c:pt idx="22">
                  <c:v>-1.4791500000000001E-2</c:v>
                </c:pt>
                <c:pt idx="23">
                  <c:v>-5.6607200000000002E-3</c:v>
                </c:pt>
                <c:pt idx="24">
                  <c:v>-9.1125700000000004E-3</c:v>
                </c:pt>
                <c:pt idx="25">
                  <c:v>5.4402900000000004E-2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4-4CB0-B026-415EB6DEC3A7}"/>
            </c:ext>
          </c:extLst>
        </c:ser>
        <c:ser>
          <c:idx val="1"/>
          <c:order val="1"/>
          <c:tx>
            <c:strRef>
              <c:f>Simon_cdeline!$T$2</c:f>
              <c:strCache>
                <c:ptCount val="1"/>
                <c:pt idx="0">
                  <c:v>Decommission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Simon_cdeline!$T$3:$T$15</c:f>
              <c:numCache>
                <c:formatCode>0.00</c:formatCode>
                <c:ptCount val="13"/>
                <c:pt idx="0">
                  <c:v>-13.5573</c:v>
                </c:pt>
                <c:pt idx="1">
                  <c:v>-4.4231999999999996</c:v>
                </c:pt>
                <c:pt idx="2">
                  <c:v>-2.43641</c:v>
                </c:pt>
                <c:pt idx="3">
                  <c:v>-1.2588900000000001</c:v>
                </c:pt>
                <c:pt idx="4">
                  <c:v>-0.555898</c:v>
                </c:pt>
                <c:pt idx="5">
                  <c:v>5.3478699999999997E-2</c:v>
                </c:pt>
                <c:pt idx="6">
                  <c:v>0.36163400000000001</c:v>
                </c:pt>
                <c:pt idx="7">
                  <c:v>0.37531100000000001</c:v>
                </c:pt>
                <c:pt idx="8">
                  <c:v>6.4664899999999997E-2</c:v>
                </c:pt>
                <c:pt idx="9">
                  <c:v>-0.36877399999999999</c:v>
                </c:pt>
                <c:pt idx="10">
                  <c:v>-0.84243900000000005</c:v>
                </c:pt>
                <c:pt idx="11">
                  <c:v>-2.5415700000000001</c:v>
                </c:pt>
                <c:pt idx="12">
                  <c:v>-2.9421599999999999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4-4CB0-B026-415EB6DEC3A7}"/>
            </c:ext>
          </c:extLst>
        </c:ser>
        <c:ser>
          <c:idx val="2"/>
          <c:order val="2"/>
          <c:tx>
            <c:strRef>
              <c:f>Simon_cdeline!$U$2</c:f>
              <c:strCache>
                <c:ptCount val="1"/>
                <c:pt idx="0">
                  <c:v>Repower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Simon_cdeline!$U$3:$U$28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-2.43641</c:v>
                </c:pt>
                <c:pt idx="3">
                  <c:v>-1.2588900000000001</c:v>
                </c:pt>
                <c:pt idx="4">
                  <c:v>-0.555898</c:v>
                </c:pt>
                <c:pt idx="5">
                  <c:v>5.3478699999999997E-2</c:v>
                </c:pt>
                <c:pt idx="6">
                  <c:v>0.36163400000000001</c:v>
                </c:pt>
                <c:pt idx="7">
                  <c:v>0.37531100000000001</c:v>
                </c:pt>
                <c:pt idx="8">
                  <c:v>6.4664899999999997E-2</c:v>
                </c:pt>
                <c:pt idx="9">
                  <c:v>-0.36877399999999999</c:v>
                </c:pt>
                <c:pt idx="10">
                  <c:v>-0.84243900000000005</c:v>
                </c:pt>
                <c:pt idx="11">
                  <c:v>-9.7406500000000005</c:v>
                </c:pt>
                <c:pt idx="12">
                  <c:v>-13.3291</c:v>
                </c:pt>
                <c:pt idx="13">
                  <c:v>-12.440899999999999</c:v>
                </c:pt>
                <c:pt idx="14">
                  <c:v>-11.629</c:v>
                </c:pt>
                <c:pt idx="15">
                  <c:v>-10.887</c:v>
                </c:pt>
                <c:pt idx="16">
                  <c:v>-10.211600000000001</c:v>
                </c:pt>
                <c:pt idx="17">
                  <c:v>-9.5971499999999992</c:v>
                </c:pt>
                <c:pt idx="18">
                  <c:v>-9.0360300000000002</c:v>
                </c:pt>
                <c:pt idx="19">
                  <c:v>-8.5237599999999993</c:v>
                </c:pt>
                <c:pt idx="20">
                  <c:v>-8.0562199999999997</c:v>
                </c:pt>
                <c:pt idx="21">
                  <c:v>-7.63063</c:v>
                </c:pt>
                <c:pt idx="22">
                  <c:v>-7.2433500000000004</c:v>
                </c:pt>
                <c:pt idx="23">
                  <c:v>-6.8902099999999997</c:v>
                </c:pt>
                <c:pt idx="24">
                  <c:v>-6.5683100000000003</c:v>
                </c:pt>
                <c:pt idx="25">
                  <c:v>-6.1972199999999997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4-4CB0-B026-415EB6DEC3A7}"/>
            </c:ext>
          </c:extLst>
        </c:ser>
        <c:ser>
          <c:idx val="3"/>
          <c:order val="3"/>
          <c:tx>
            <c:strRef>
              <c:f>Simon_cdeline!$S$2</c:f>
              <c:strCache>
                <c:ptCount val="1"/>
                <c:pt idx="0">
                  <c:v>Repair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Simon_cdeline!$S$3:$S$28</c:f>
              <c:numCache>
                <c:formatCode>0.00</c:formatCode>
                <c:ptCount val="26"/>
                <c:pt idx="0">
                  <c:v>-13.5573</c:v>
                </c:pt>
                <c:pt idx="1">
                  <c:v>-4.4231999999999996</c:v>
                </c:pt>
                <c:pt idx="2">
                  <c:v>-2.43641</c:v>
                </c:pt>
                <c:pt idx="3">
                  <c:v>-1.2588900000000001</c:v>
                </c:pt>
                <c:pt idx="4">
                  <c:v>-0.555898</c:v>
                </c:pt>
                <c:pt idx="5">
                  <c:v>5.3478699999999997E-2</c:v>
                </c:pt>
                <c:pt idx="6">
                  <c:v>0.36163400000000001</c:v>
                </c:pt>
                <c:pt idx="7">
                  <c:v>0.37531100000000001</c:v>
                </c:pt>
                <c:pt idx="8">
                  <c:v>6.4664899999999997E-2</c:v>
                </c:pt>
                <c:pt idx="9">
                  <c:v>-0.36877399999999999</c:v>
                </c:pt>
                <c:pt idx="10">
                  <c:v>-0.84243900000000005</c:v>
                </c:pt>
                <c:pt idx="11">
                  <c:v>-2.2867799999999998</c:v>
                </c:pt>
                <c:pt idx="12">
                  <c:v>-2.7549000000000001</c:v>
                </c:pt>
                <c:pt idx="13">
                  <c:v>-2.22505</c:v>
                </c:pt>
                <c:pt idx="14">
                  <c:v>-1.7596400000000001</c:v>
                </c:pt>
                <c:pt idx="15">
                  <c:v>-1.35206</c:v>
                </c:pt>
                <c:pt idx="16">
                  <c:v>-0.998973</c:v>
                </c:pt>
                <c:pt idx="17">
                  <c:v>-0.69453100000000001</c:v>
                </c:pt>
                <c:pt idx="18">
                  <c:v>-0.43127100000000002</c:v>
                </c:pt>
                <c:pt idx="19">
                  <c:v>-0.20480499999999999</c:v>
                </c:pt>
                <c:pt idx="20">
                  <c:v>-1.1162E-2</c:v>
                </c:pt>
                <c:pt idx="21">
                  <c:v>0.15224699999999999</c:v>
                </c:pt>
                <c:pt idx="22">
                  <c:v>0.288823</c:v>
                </c:pt>
                <c:pt idx="23">
                  <c:v>0.40246700000000002</c:v>
                </c:pt>
                <c:pt idx="24">
                  <c:v>0.49579600000000001</c:v>
                </c:pt>
                <c:pt idx="25">
                  <c:v>0.64893299999999998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74-4CB0-B026-415EB6DE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469128"/>
        <c:axId val="924467688"/>
      </c:lineChart>
      <c:catAx>
        <c:axId val="924469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7688"/>
        <c:crosses val="autoZero"/>
        <c:auto val="1"/>
        <c:lblAlgn val="ctr"/>
        <c:lblOffset val="100"/>
        <c:noMultiLvlLbl val="0"/>
      </c:catAx>
      <c:valAx>
        <c:axId val="92446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46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130176</xdr:colOff>
      <xdr:row>0</xdr:row>
      <xdr:rowOff>152400</xdr:rowOff>
    </xdr:from>
    <xdr:to>
      <xdr:col>36</xdr:col>
      <xdr:colOff>161925</xdr:colOff>
      <xdr:row>20</xdr:row>
      <xdr:rowOff>96837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D57BB-6C2E-4DA6-8155-471EFD57C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194309</xdr:colOff>
      <xdr:row>20</xdr:row>
      <xdr:rowOff>131761</xdr:rowOff>
    </xdr:from>
    <xdr:to>
      <xdr:col>36</xdr:col>
      <xdr:colOff>149859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D521F3-F9BF-33E6-E8B0-EA4E4F126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130176</xdr:colOff>
      <xdr:row>0</xdr:row>
      <xdr:rowOff>152400</xdr:rowOff>
    </xdr:from>
    <xdr:to>
      <xdr:col>36</xdr:col>
      <xdr:colOff>161925</xdr:colOff>
      <xdr:row>20</xdr:row>
      <xdr:rowOff>96837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A8690-51AE-4F2F-9D06-5FDA9D67B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194309</xdr:colOff>
      <xdr:row>20</xdr:row>
      <xdr:rowOff>131761</xdr:rowOff>
    </xdr:from>
    <xdr:to>
      <xdr:col>36</xdr:col>
      <xdr:colOff>149859</xdr:colOff>
      <xdr:row>37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2A5EFA-1953-4A71-BC80-40A7AE256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2B7E-C15E-4BE7-BAE2-4B1EBEE71C1F}">
  <dimension ref="A1:Z80"/>
  <sheetViews>
    <sheetView workbookViewId="0">
      <selection activeCell="D14" sqref="D14"/>
    </sheetView>
  </sheetViews>
  <sheetFormatPr defaultRowHeight="14.5" x14ac:dyDescent="0.35"/>
  <cols>
    <col min="1" max="1" width="4.7265625" bestFit="1" customWidth="1"/>
    <col min="6" max="6" width="4.7265625" customWidth="1"/>
    <col min="7" max="8" width="13" customWidth="1"/>
    <col min="12" max="12" width="4.7265625" bestFit="1" customWidth="1"/>
    <col min="13" max="13" width="9" bestFit="1" customWidth="1"/>
    <col min="14" max="14" width="9" customWidth="1"/>
    <col min="17" max="17" width="3.26953125" customWidth="1"/>
    <col min="22" max="22" width="2.7265625" customWidth="1"/>
  </cols>
  <sheetData>
    <row r="1" spans="1:26" x14ac:dyDescent="0.35">
      <c r="B1" t="s">
        <v>1</v>
      </c>
      <c r="G1" t="s">
        <v>5</v>
      </c>
      <c r="M1" t="s">
        <v>1</v>
      </c>
      <c r="R1" t="s">
        <v>5</v>
      </c>
      <c r="W1" t="s">
        <v>9</v>
      </c>
    </row>
    <row r="2" spans="1:26" x14ac:dyDescent="0.35">
      <c r="A2" t="s">
        <v>0</v>
      </c>
      <c r="B2" t="s">
        <v>2</v>
      </c>
      <c r="C2" t="s">
        <v>10</v>
      </c>
      <c r="D2" t="s">
        <v>3</v>
      </c>
      <c r="E2" t="s">
        <v>4</v>
      </c>
      <c r="G2" t="s">
        <v>2</v>
      </c>
      <c r="H2" t="s">
        <v>10</v>
      </c>
      <c r="I2" t="s">
        <v>3</v>
      </c>
      <c r="J2" t="s">
        <v>4</v>
      </c>
      <c r="L2" t="s">
        <v>0</v>
      </c>
      <c r="M2" t="s">
        <v>6</v>
      </c>
      <c r="N2" t="s">
        <v>10</v>
      </c>
      <c r="O2" t="s">
        <v>7</v>
      </c>
      <c r="P2" t="s">
        <v>8</v>
      </c>
      <c r="R2" t="s">
        <v>6</v>
      </c>
      <c r="S2" t="s">
        <v>10</v>
      </c>
      <c r="T2" t="s">
        <v>7</v>
      </c>
      <c r="U2" t="s">
        <v>8</v>
      </c>
      <c r="W2" t="s">
        <v>6</v>
      </c>
      <c r="X2" t="s">
        <v>10</v>
      </c>
      <c r="Y2" t="s">
        <v>7</v>
      </c>
      <c r="Z2" t="s">
        <v>8</v>
      </c>
    </row>
    <row r="3" spans="1:26" x14ac:dyDescent="0.35">
      <c r="A3">
        <v>0</v>
      </c>
      <c r="B3" s="1">
        <v>-13557300</v>
      </c>
      <c r="C3" s="1">
        <v>-13557300</v>
      </c>
      <c r="D3" s="1">
        <v>-13557300</v>
      </c>
      <c r="E3" s="1">
        <v>-13557300</v>
      </c>
      <c r="G3" s="1">
        <v>-13557300</v>
      </c>
      <c r="H3" s="1">
        <v>-13557300</v>
      </c>
      <c r="I3" s="1">
        <v>-13557300</v>
      </c>
      <c r="J3" s="1">
        <v>-13557300</v>
      </c>
      <c r="L3">
        <v>0</v>
      </c>
      <c r="M3" s="2">
        <f>B3/1000000</f>
        <v>-13.5573</v>
      </c>
      <c r="N3" s="2">
        <f>C3/1000000</f>
        <v>-13.5573</v>
      </c>
      <c r="O3" s="2">
        <f>D3/1000000</f>
        <v>-13.5573</v>
      </c>
      <c r="P3" s="2">
        <f>E3/1000000</f>
        <v>-13.5573</v>
      </c>
      <c r="Q3" s="2"/>
      <c r="R3" s="2">
        <f>G3/1000000</f>
        <v>-13.5573</v>
      </c>
      <c r="S3" s="2">
        <f>H3/1000000</f>
        <v>-13.5573</v>
      </c>
      <c r="T3" s="2">
        <f>I3/1000000</f>
        <v>-13.5573</v>
      </c>
      <c r="U3" s="2">
        <f>J3/1000000</f>
        <v>-13.5573</v>
      </c>
      <c r="W3" s="3">
        <f>M3</f>
        <v>-13.5573</v>
      </c>
      <c r="X3" s="3">
        <f>N3</f>
        <v>-13.5573</v>
      </c>
      <c r="Y3" s="3">
        <f>O3</f>
        <v>-13.5573</v>
      </c>
      <c r="Z3" s="3">
        <f>P3</f>
        <v>-13.5573</v>
      </c>
    </row>
    <row r="4" spans="1:26" x14ac:dyDescent="0.35">
      <c r="A4">
        <v>1</v>
      </c>
      <c r="B4" s="1">
        <v>9961670</v>
      </c>
      <c r="C4" s="1">
        <v>9961670</v>
      </c>
      <c r="D4" s="1">
        <v>9961670</v>
      </c>
      <c r="E4" s="1">
        <v>9961670</v>
      </c>
      <c r="G4" s="1">
        <v>-4423200</v>
      </c>
      <c r="H4" s="1">
        <v>-4423200</v>
      </c>
      <c r="I4" s="1">
        <v>-4423200</v>
      </c>
      <c r="J4" s="1">
        <v>-4423200</v>
      </c>
      <c r="L4">
        <v>1</v>
      </c>
      <c r="M4" s="2">
        <f t="shared" ref="M4:N28" si="0">B4/1000000</f>
        <v>9.9616699999999998</v>
      </c>
      <c r="N4" s="2">
        <f t="shared" si="0"/>
        <v>9.9616699999999998</v>
      </c>
      <c r="O4" s="2">
        <f t="shared" ref="O4:O28" si="1">D4/1000000</f>
        <v>9.9616699999999998</v>
      </c>
      <c r="P4" s="2">
        <f t="shared" ref="P4:P28" si="2">E4/1000000</f>
        <v>9.9616699999999998</v>
      </c>
      <c r="Q4" s="2"/>
      <c r="R4" s="2">
        <f t="shared" ref="R4:R28" si="3">G4/1000000</f>
        <v>-4.4231999999999996</v>
      </c>
      <c r="S4" s="2">
        <f t="shared" ref="S4:S28" si="4">H4/1000000</f>
        <v>-4.4231999999999996</v>
      </c>
      <c r="T4" s="2">
        <f t="shared" ref="T4:T28" si="5">I4/1000000</f>
        <v>-4.4231999999999996</v>
      </c>
      <c r="U4" s="2">
        <f t="shared" ref="U4:U28" si="6">J4/1000000</f>
        <v>-4.4231999999999996</v>
      </c>
      <c r="W4" s="3">
        <f>W3+M4</f>
        <v>-3.5956299999999999</v>
      </c>
      <c r="X4" s="3">
        <f>X3+N4</f>
        <v>-3.5956299999999999</v>
      </c>
      <c r="Y4" s="3">
        <f>Y3+O4</f>
        <v>-3.5956299999999999</v>
      </c>
      <c r="Z4" s="3">
        <f>Z3+P4</f>
        <v>-3.5956299999999999</v>
      </c>
    </row>
    <row r="5" spans="1:26" x14ac:dyDescent="0.35">
      <c r="A5">
        <v>2</v>
      </c>
      <c r="B5" s="1">
        <v>2253980</v>
      </c>
      <c r="C5" s="1">
        <v>2253980</v>
      </c>
      <c r="D5" s="1">
        <v>2253980</v>
      </c>
      <c r="E5" s="1">
        <v>2253980</v>
      </c>
      <c r="G5" s="1">
        <v>-2528160</v>
      </c>
      <c r="H5" s="1">
        <v>-2528160</v>
      </c>
      <c r="I5" s="1">
        <v>-2528160</v>
      </c>
      <c r="J5" s="1">
        <v>-2528160</v>
      </c>
      <c r="L5">
        <v>2</v>
      </c>
      <c r="M5" s="2">
        <f t="shared" si="0"/>
        <v>2.2539799999999999</v>
      </c>
      <c r="N5" s="2">
        <f t="shared" si="0"/>
        <v>2.2539799999999999</v>
      </c>
      <c r="O5" s="2">
        <f t="shared" si="1"/>
        <v>2.2539799999999999</v>
      </c>
      <c r="P5" s="2">
        <f t="shared" si="2"/>
        <v>2.2539799999999999</v>
      </c>
      <c r="Q5" s="2"/>
      <c r="R5" s="2">
        <f t="shared" si="3"/>
        <v>-2.5281600000000002</v>
      </c>
      <c r="S5" s="2">
        <f t="shared" si="4"/>
        <v>-2.5281600000000002</v>
      </c>
      <c r="T5" s="2">
        <f t="shared" si="5"/>
        <v>-2.5281600000000002</v>
      </c>
      <c r="U5" s="2">
        <f t="shared" si="6"/>
        <v>-2.5281600000000002</v>
      </c>
      <c r="W5" s="3">
        <f t="shared" ref="W5:X14" si="7">W4+M5</f>
        <v>-1.34165</v>
      </c>
      <c r="X5" s="3">
        <f t="shared" si="7"/>
        <v>-1.34165</v>
      </c>
      <c r="Y5" s="3">
        <f t="shared" ref="Y5:Y14" si="8">Y4+O5</f>
        <v>-1.34165</v>
      </c>
      <c r="Z5" s="3">
        <f t="shared" ref="Z5:Z14" si="9">Z4+P5</f>
        <v>-1.34165</v>
      </c>
    </row>
    <row r="6" spans="1:26" x14ac:dyDescent="0.35">
      <c r="A6">
        <v>3</v>
      </c>
      <c r="B6" s="1">
        <v>1306930</v>
      </c>
      <c r="C6" s="1">
        <v>1306930</v>
      </c>
      <c r="D6" s="1">
        <v>1306930</v>
      </c>
      <c r="E6" s="1">
        <v>1306930</v>
      </c>
      <c r="G6" s="1">
        <v>-1520630</v>
      </c>
      <c r="H6" s="1">
        <v>-1520630</v>
      </c>
      <c r="I6" s="1">
        <v>-1520630</v>
      </c>
      <c r="J6" s="1">
        <v>-1520630</v>
      </c>
      <c r="L6">
        <v>3</v>
      </c>
      <c r="M6" s="2">
        <f t="shared" si="0"/>
        <v>1.3069299999999999</v>
      </c>
      <c r="N6" s="2">
        <f t="shared" si="0"/>
        <v>1.3069299999999999</v>
      </c>
      <c r="O6" s="2">
        <f t="shared" si="1"/>
        <v>1.3069299999999999</v>
      </c>
      <c r="P6" s="2">
        <f t="shared" si="2"/>
        <v>1.3069299999999999</v>
      </c>
      <c r="Q6" s="2"/>
      <c r="R6" s="2">
        <f t="shared" si="3"/>
        <v>-1.5206299999999999</v>
      </c>
      <c r="S6" s="2">
        <f t="shared" si="4"/>
        <v>-1.5206299999999999</v>
      </c>
      <c r="T6" s="2">
        <f t="shared" si="5"/>
        <v>-1.5206299999999999</v>
      </c>
      <c r="U6" s="2">
        <f t="shared" si="6"/>
        <v>-1.5206299999999999</v>
      </c>
      <c r="W6" s="3">
        <f t="shared" si="7"/>
        <v>-3.4720000000000084E-2</v>
      </c>
      <c r="X6" s="3">
        <f t="shared" si="7"/>
        <v>-3.4720000000000084E-2</v>
      </c>
      <c r="Y6" s="3">
        <f t="shared" si="8"/>
        <v>-3.4720000000000084E-2</v>
      </c>
      <c r="Z6" s="3">
        <f t="shared" si="9"/>
        <v>-3.4720000000000084E-2</v>
      </c>
    </row>
    <row r="7" spans="1:26" x14ac:dyDescent="0.35">
      <c r="A7">
        <v>4</v>
      </c>
      <c r="B7" s="1">
        <v>676313</v>
      </c>
      <c r="C7">
        <v>676313</v>
      </c>
      <c r="D7" s="1">
        <v>676313</v>
      </c>
      <c r="E7" s="1">
        <v>676313</v>
      </c>
      <c r="G7" s="1">
        <v>-1042570</v>
      </c>
      <c r="H7" s="1">
        <v>-1042570</v>
      </c>
      <c r="I7" s="1">
        <v>-1042570</v>
      </c>
      <c r="J7" s="1">
        <v>-1042570</v>
      </c>
      <c r="L7">
        <v>4</v>
      </c>
      <c r="M7" s="2">
        <f t="shared" si="0"/>
        <v>0.67631300000000005</v>
      </c>
      <c r="N7" s="2">
        <f t="shared" si="0"/>
        <v>0.67631300000000005</v>
      </c>
      <c r="O7" s="2">
        <f t="shared" si="1"/>
        <v>0.67631300000000005</v>
      </c>
      <c r="P7" s="2">
        <f t="shared" si="2"/>
        <v>0.67631300000000005</v>
      </c>
      <c r="Q7" s="2"/>
      <c r="R7" s="2">
        <f t="shared" si="3"/>
        <v>-1.04257</v>
      </c>
      <c r="S7" s="2">
        <f t="shared" si="4"/>
        <v>-1.04257</v>
      </c>
      <c r="T7" s="2">
        <f t="shared" si="5"/>
        <v>-1.04257</v>
      </c>
      <c r="U7" s="2">
        <f t="shared" si="6"/>
        <v>-1.04257</v>
      </c>
      <c r="W7" s="3">
        <f t="shared" si="7"/>
        <v>0.64159299999999997</v>
      </c>
      <c r="X7" s="3">
        <f t="shared" si="7"/>
        <v>0.64159299999999997</v>
      </c>
      <c r="Y7" s="3">
        <f t="shared" si="8"/>
        <v>0.64159299999999997</v>
      </c>
      <c r="Z7" s="3">
        <f t="shared" si="9"/>
        <v>0.64159299999999997</v>
      </c>
    </row>
    <row r="8" spans="1:26" x14ac:dyDescent="0.35">
      <c r="A8">
        <v>5</v>
      </c>
      <c r="B8" s="1">
        <v>522382</v>
      </c>
      <c r="C8">
        <v>522382</v>
      </c>
      <c r="D8" s="1">
        <v>522382</v>
      </c>
      <c r="E8" s="1">
        <v>522382</v>
      </c>
      <c r="G8" s="1">
        <v>-703987</v>
      </c>
      <c r="H8">
        <v>-703987</v>
      </c>
      <c r="I8" s="1">
        <v>-703987</v>
      </c>
      <c r="J8" s="1">
        <v>-703987</v>
      </c>
      <c r="L8">
        <v>5</v>
      </c>
      <c r="M8" s="2">
        <f t="shared" si="0"/>
        <v>0.52238200000000001</v>
      </c>
      <c r="N8" s="2">
        <f t="shared" si="0"/>
        <v>0.52238200000000001</v>
      </c>
      <c r="O8" s="2">
        <f t="shared" si="1"/>
        <v>0.52238200000000001</v>
      </c>
      <c r="P8" s="2">
        <f t="shared" si="2"/>
        <v>0.52238200000000001</v>
      </c>
      <c r="Q8" s="2"/>
      <c r="R8" s="2">
        <f t="shared" si="3"/>
        <v>-0.70398700000000003</v>
      </c>
      <c r="S8" s="2">
        <f t="shared" si="4"/>
        <v>-0.70398700000000003</v>
      </c>
      <c r="T8" s="2">
        <f t="shared" si="5"/>
        <v>-0.70398700000000003</v>
      </c>
      <c r="U8" s="2">
        <f t="shared" si="6"/>
        <v>-0.70398700000000003</v>
      </c>
      <c r="W8" s="3">
        <f t="shared" si="7"/>
        <v>1.163975</v>
      </c>
      <c r="X8" s="3">
        <f t="shared" si="7"/>
        <v>1.163975</v>
      </c>
      <c r="Y8" s="3">
        <f t="shared" si="8"/>
        <v>1.163975</v>
      </c>
      <c r="Z8" s="3">
        <f t="shared" si="9"/>
        <v>1.163975</v>
      </c>
    </row>
    <row r="9" spans="1:26" x14ac:dyDescent="0.35">
      <c r="A9">
        <v>6</v>
      </c>
      <c r="B9" s="1">
        <v>2407.9699999999998</v>
      </c>
      <c r="C9">
        <v>2407.9699999999998</v>
      </c>
      <c r="D9" s="1">
        <v>2407.9699999999998</v>
      </c>
      <c r="E9" s="1">
        <v>2407.9699999999998</v>
      </c>
      <c r="G9" s="1">
        <v>-702556</v>
      </c>
      <c r="H9">
        <v>-702556</v>
      </c>
      <c r="I9" s="1">
        <v>-702556</v>
      </c>
      <c r="J9" s="1">
        <v>-702556</v>
      </c>
      <c r="L9">
        <v>6</v>
      </c>
      <c r="M9" s="2">
        <f t="shared" si="0"/>
        <v>2.4079699999999997E-3</v>
      </c>
      <c r="N9" s="2">
        <f t="shared" si="0"/>
        <v>2.4079699999999997E-3</v>
      </c>
      <c r="O9" s="2">
        <f t="shared" si="1"/>
        <v>2.4079699999999997E-3</v>
      </c>
      <c r="P9" s="2">
        <f t="shared" si="2"/>
        <v>2.4079699999999997E-3</v>
      </c>
      <c r="Q9" s="2"/>
      <c r="R9" s="2">
        <f t="shared" si="3"/>
        <v>-0.70255599999999996</v>
      </c>
      <c r="S9" s="2">
        <f t="shared" si="4"/>
        <v>-0.70255599999999996</v>
      </c>
      <c r="T9" s="2">
        <f t="shared" si="5"/>
        <v>-0.70255599999999996</v>
      </c>
      <c r="U9" s="2">
        <f t="shared" si="6"/>
        <v>-0.70255599999999996</v>
      </c>
      <c r="W9" s="3">
        <f t="shared" si="7"/>
        <v>1.1663829699999999</v>
      </c>
      <c r="X9" s="3">
        <f t="shared" si="7"/>
        <v>1.1663829699999999</v>
      </c>
      <c r="Y9" s="3">
        <f t="shared" si="8"/>
        <v>1.1663829699999999</v>
      </c>
      <c r="Z9" s="3">
        <f t="shared" si="9"/>
        <v>1.1663829699999999</v>
      </c>
    </row>
    <row r="10" spans="1:26" x14ac:dyDescent="0.35">
      <c r="A10">
        <v>7</v>
      </c>
      <c r="B10">
        <v>-522389</v>
      </c>
      <c r="C10" s="1">
        <v>-522389</v>
      </c>
      <c r="D10">
        <v>-522389</v>
      </c>
      <c r="E10" s="1">
        <v>-522389</v>
      </c>
      <c r="G10" s="1">
        <v>-987222</v>
      </c>
      <c r="H10">
        <v>-987222</v>
      </c>
      <c r="I10" s="1">
        <v>-987222</v>
      </c>
      <c r="J10">
        <v>-987222</v>
      </c>
      <c r="L10">
        <v>7</v>
      </c>
      <c r="M10" s="2">
        <f t="shared" si="0"/>
        <v>-0.52238899999999999</v>
      </c>
      <c r="N10" s="2">
        <f t="shared" si="0"/>
        <v>-0.52238899999999999</v>
      </c>
      <c r="O10" s="2">
        <f t="shared" si="1"/>
        <v>-0.52238899999999999</v>
      </c>
      <c r="P10" s="2">
        <f t="shared" si="2"/>
        <v>-0.52238899999999999</v>
      </c>
      <c r="Q10" s="2"/>
      <c r="R10" s="2">
        <f t="shared" si="3"/>
        <v>-0.98722200000000004</v>
      </c>
      <c r="S10" s="2">
        <f t="shared" si="4"/>
        <v>-0.98722200000000004</v>
      </c>
      <c r="T10" s="2">
        <f t="shared" si="5"/>
        <v>-0.98722200000000004</v>
      </c>
      <c r="U10" s="2">
        <f t="shared" si="6"/>
        <v>-0.98722200000000004</v>
      </c>
      <c r="W10" s="3">
        <f t="shared" si="7"/>
        <v>0.64399396999999992</v>
      </c>
      <c r="X10" s="3">
        <f t="shared" si="7"/>
        <v>0.64399396999999992</v>
      </c>
      <c r="Y10" s="3">
        <f t="shared" si="8"/>
        <v>0.64399396999999992</v>
      </c>
      <c r="Z10" s="3">
        <f t="shared" si="9"/>
        <v>0.64399396999999992</v>
      </c>
    </row>
    <row r="11" spans="1:26" x14ac:dyDescent="0.35">
      <c r="A11">
        <v>8</v>
      </c>
      <c r="B11">
        <v>-691240</v>
      </c>
      <c r="C11" s="1">
        <v>-691240</v>
      </c>
      <c r="D11">
        <v>-691240</v>
      </c>
      <c r="E11" s="1">
        <v>-691240</v>
      </c>
      <c r="G11" s="1">
        <v>-1332610</v>
      </c>
      <c r="H11" s="1">
        <v>-1332610</v>
      </c>
      <c r="I11" s="1">
        <v>-1332610</v>
      </c>
      <c r="J11" s="1">
        <v>-1332610</v>
      </c>
      <c r="L11">
        <v>8</v>
      </c>
      <c r="M11" s="2">
        <f t="shared" si="0"/>
        <v>-0.69123999999999997</v>
      </c>
      <c r="N11" s="2">
        <f t="shared" si="0"/>
        <v>-0.69123999999999997</v>
      </c>
      <c r="O11" s="2">
        <f t="shared" si="1"/>
        <v>-0.69123999999999997</v>
      </c>
      <c r="P11" s="2">
        <f t="shared" si="2"/>
        <v>-0.69123999999999997</v>
      </c>
      <c r="Q11" s="2"/>
      <c r="R11" s="2">
        <f t="shared" si="3"/>
        <v>-1.3326100000000001</v>
      </c>
      <c r="S11" s="2">
        <f t="shared" si="4"/>
        <v>-1.3326100000000001</v>
      </c>
      <c r="T11" s="2">
        <f t="shared" si="5"/>
        <v>-1.3326100000000001</v>
      </c>
      <c r="U11" s="2">
        <f t="shared" si="6"/>
        <v>-1.3326100000000001</v>
      </c>
      <c r="W11" s="3">
        <f t="shared" si="7"/>
        <v>-4.724603000000005E-2</v>
      </c>
      <c r="X11" s="3">
        <f t="shared" si="7"/>
        <v>-4.724603000000005E-2</v>
      </c>
      <c r="Y11" s="3">
        <f t="shared" si="8"/>
        <v>-4.724603000000005E-2</v>
      </c>
      <c r="Z11" s="3">
        <f t="shared" si="9"/>
        <v>-4.724603000000005E-2</v>
      </c>
    </row>
    <row r="12" spans="1:26" x14ac:dyDescent="0.35">
      <c r="A12">
        <v>9</v>
      </c>
      <c r="B12" s="1">
        <v>-865807</v>
      </c>
      <c r="C12" s="1">
        <v>-865807</v>
      </c>
      <c r="D12">
        <v>-865807</v>
      </c>
      <c r="E12" s="1">
        <v>-865807</v>
      </c>
      <c r="G12" s="1">
        <v>-1729280</v>
      </c>
      <c r="H12" s="1">
        <v>-1729280</v>
      </c>
      <c r="I12" s="1">
        <v>-1729280</v>
      </c>
      <c r="J12" s="1">
        <v>-1729280</v>
      </c>
      <c r="L12">
        <v>9</v>
      </c>
      <c r="M12" s="2">
        <f t="shared" si="0"/>
        <v>-0.86580699999999999</v>
      </c>
      <c r="N12" s="2">
        <f t="shared" si="0"/>
        <v>-0.86580699999999999</v>
      </c>
      <c r="O12" s="2">
        <f t="shared" si="1"/>
        <v>-0.86580699999999999</v>
      </c>
      <c r="P12" s="2">
        <f t="shared" si="2"/>
        <v>-0.86580699999999999</v>
      </c>
      <c r="Q12" s="2"/>
      <c r="R12" s="2">
        <f t="shared" si="3"/>
        <v>-1.7292799999999999</v>
      </c>
      <c r="S12" s="2">
        <f t="shared" si="4"/>
        <v>-1.7292799999999999</v>
      </c>
      <c r="T12" s="2">
        <f t="shared" si="5"/>
        <v>-1.7292799999999999</v>
      </c>
      <c r="U12" s="2">
        <f t="shared" si="6"/>
        <v>-1.7292799999999999</v>
      </c>
      <c r="W12" s="3">
        <f t="shared" si="7"/>
        <v>-0.91305303000000004</v>
      </c>
      <c r="X12" s="3">
        <f t="shared" si="7"/>
        <v>-0.91305303000000004</v>
      </c>
      <c r="Y12" s="3">
        <f t="shared" si="8"/>
        <v>-0.91305303000000004</v>
      </c>
      <c r="Z12" s="3">
        <f t="shared" si="9"/>
        <v>-0.91305303000000004</v>
      </c>
    </row>
    <row r="13" spans="1:26" x14ac:dyDescent="0.35">
      <c r="A13">
        <v>10</v>
      </c>
      <c r="B13" s="1">
        <v>-1046480</v>
      </c>
      <c r="C13" s="1">
        <v>-1046480</v>
      </c>
      <c r="D13" s="1">
        <v>-1046480</v>
      </c>
      <c r="E13" s="1">
        <v>-1046480</v>
      </c>
      <c r="G13" s="1">
        <v>-2168900</v>
      </c>
      <c r="H13" s="1">
        <v>-2168900</v>
      </c>
      <c r="I13" s="1">
        <v>-2168900</v>
      </c>
      <c r="J13" s="1">
        <v>-2168900</v>
      </c>
      <c r="L13">
        <v>10</v>
      </c>
      <c r="M13" s="2">
        <f t="shared" si="0"/>
        <v>-1.0464800000000001</v>
      </c>
      <c r="N13" s="2">
        <f t="shared" si="0"/>
        <v>-1.0464800000000001</v>
      </c>
      <c r="O13" s="2">
        <f t="shared" si="1"/>
        <v>-1.0464800000000001</v>
      </c>
      <c r="P13" s="2">
        <f t="shared" si="2"/>
        <v>-1.0464800000000001</v>
      </c>
      <c r="Q13" s="2"/>
      <c r="R13" s="2">
        <f t="shared" si="3"/>
        <v>-2.1688999999999998</v>
      </c>
      <c r="S13" s="2">
        <f t="shared" si="4"/>
        <v>-2.1688999999999998</v>
      </c>
      <c r="T13" s="2">
        <f t="shared" si="5"/>
        <v>-2.1688999999999998</v>
      </c>
      <c r="U13" s="2">
        <f t="shared" si="6"/>
        <v>-2.1688999999999998</v>
      </c>
      <c r="W13" s="3">
        <f t="shared" si="7"/>
        <v>-1.9595330300000002</v>
      </c>
      <c r="X13" s="3">
        <f t="shared" si="7"/>
        <v>-1.9595330300000002</v>
      </c>
      <c r="Y13" s="3">
        <f t="shared" si="8"/>
        <v>-1.9595330300000002</v>
      </c>
      <c r="Z13" s="3">
        <f t="shared" si="9"/>
        <v>-1.9595330300000002</v>
      </c>
    </row>
    <row r="14" spans="1:26" x14ac:dyDescent="0.35">
      <c r="A14">
        <v>11</v>
      </c>
      <c r="B14" s="1">
        <v>-1233410</v>
      </c>
      <c r="C14" s="1">
        <v>-3667810</v>
      </c>
      <c r="D14" s="1">
        <v>-4329260</v>
      </c>
      <c r="E14" s="1">
        <v>-23018800</v>
      </c>
      <c r="G14" s="1">
        <v>-2644000</v>
      </c>
      <c r="H14" s="1">
        <v>-3581710</v>
      </c>
      <c r="I14" s="1">
        <v>-3836500</v>
      </c>
      <c r="J14" s="1">
        <v>-11035600</v>
      </c>
      <c r="L14">
        <v>11</v>
      </c>
      <c r="M14" s="2">
        <f t="shared" si="0"/>
        <v>-1.2334099999999999</v>
      </c>
      <c r="N14" s="2">
        <f t="shared" si="0"/>
        <v>-3.6678099999999998</v>
      </c>
      <c r="O14" s="2">
        <f t="shared" si="1"/>
        <v>-4.3292599999999997</v>
      </c>
      <c r="P14" s="2">
        <f t="shared" si="2"/>
        <v>-23.018799999999999</v>
      </c>
      <c r="Q14" s="2"/>
      <c r="R14" s="2">
        <f t="shared" si="3"/>
        <v>-2.6440000000000001</v>
      </c>
      <c r="S14" s="2">
        <f t="shared" si="4"/>
        <v>-3.5817100000000002</v>
      </c>
      <c r="T14" s="2">
        <f t="shared" si="5"/>
        <v>-3.8365</v>
      </c>
      <c r="U14" s="2">
        <f t="shared" si="6"/>
        <v>-11.035600000000001</v>
      </c>
      <c r="W14" s="3">
        <f t="shared" si="7"/>
        <v>-3.1929430300000003</v>
      </c>
      <c r="X14" s="3">
        <f t="shared" si="7"/>
        <v>-5.6273430300000005</v>
      </c>
      <c r="Y14" s="3">
        <f t="shared" si="8"/>
        <v>-6.2887930299999999</v>
      </c>
      <c r="Z14" s="3">
        <f t="shared" si="9"/>
        <v>-24.978333029999998</v>
      </c>
    </row>
    <row r="15" spans="1:26" x14ac:dyDescent="0.35">
      <c r="A15">
        <v>12</v>
      </c>
      <c r="B15" s="1">
        <v>-131317</v>
      </c>
      <c r="C15" s="1">
        <v>-1242720</v>
      </c>
      <c r="D15" s="1">
        <v>-1051530</v>
      </c>
      <c r="E15" s="1">
        <v>-10077300</v>
      </c>
      <c r="G15" s="1">
        <v>-2690380</v>
      </c>
      <c r="H15" s="1">
        <v>-4020640</v>
      </c>
      <c r="I15" s="1">
        <v>-4207900</v>
      </c>
      <c r="J15" s="1">
        <v>-14594800</v>
      </c>
      <c r="L15">
        <v>12</v>
      </c>
      <c r="M15" s="2">
        <f t="shared" si="0"/>
        <v>-0.13131699999999999</v>
      </c>
      <c r="N15" s="2">
        <f t="shared" si="0"/>
        <v>-1.24272</v>
      </c>
      <c r="O15" s="2">
        <f t="shared" si="1"/>
        <v>-1.0515300000000001</v>
      </c>
      <c r="P15" s="2">
        <f t="shared" si="2"/>
        <v>-10.077299999999999</v>
      </c>
      <c r="Q15" s="2"/>
      <c r="R15" s="2">
        <f t="shared" si="3"/>
        <v>-2.6903800000000002</v>
      </c>
      <c r="S15" s="2">
        <f t="shared" si="4"/>
        <v>-4.0206400000000002</v>
      </c>
      <c r="T15" s="5">
        <f t="shared" si="5"/>
        <v>-4.2079000000000004</v>
      </c>
      <c r="U15" s="2">
        <f t="shared" si="6"/>
        <v>-14.594799999999999</v>
      </c>
      <c r="W15" s="3">
        <f t="shared" ref="W15:X23" si="10">W14+M15</f>
        <v>-3.3242600300000005</v>
      </c>
      <c r="X15" s="3">
        <f t="shared" si="10"/>
        <v>-6.8700630300000007</v>
      </c>
      <c r="Y15" s="3">
        <f t="shared" ref="Y15:Y23" si="11">Y14+O15</f>
        <v>-7.3403230300000004</v>
      </c>
      <c r="Z15" s="4">
        <f>Z14+P15</f>
        <v>-35.055633029999996</v>
      </c>
    </row>
    <row r="16" spans="1:26" x14ac:dyDescent="0.35">
      <c r="A16">
        <v>13</v>
      </c>
      <c r="B16" s="1">
        <v>1023740</v>
      </c>
      <c r="C16" s="1">
        <v>1865740</v>
      </c>
      <c r="E16" s="1">
        <v>2742620</v>
      </c>
      <c r="G16" s="1">
        <v>-2358840</v>
      </c>
      <c r="H16" s="1">
        <v>-3416410</v>
      </c>
      <c r="J16" s="1">
        <v>-13706600</v>
      </c>
      <c r="L16">
        <v>13</v>
      </c>
      <c r="M16" s="2">
        <f t="shared" si="0"/>
        <v>1.0237400000000001</v>
      </c>
      <c r="N16" s="2">
        <f t="shared" si="0"/>
        <v>1.86574</v>
      </c>
      <c r="O16" s="2">
        <f t="shared" si="1"/>
        <v>0</v>
      </c>
      <c r="P16" s="2">
        <f t="shared" si="2"/>
        <v>2.7426200000000001</v>
      </c>
      <c r="Q16" s="2"/>
      <c r="R16" s="2">
        <f t="shared" si="3"/>
        <v>-2.3588399999999998</v>
      </c>
      <c r="S16" s="2">
        <f t="shared" si="4"/>
        <v>-3.4164099999999999</v>
      </c>
      <c r="T16" s="2">
        <f t="shared" si="5"/>
        <v>0</v>
      </c>
      <c r="U16" s="2">
        <f t="shared" si="6"/>
        <v>-13.7066</v>
      </c>
      <c r="W16" s="3">
        <f t="shared" si="10"/>
        <v>-2.3005200300000004</v>
      </c>
      <c r="X16" s="3">
        <f t="shared" si="10"/>
        <v>-5.004323030000001</v>
      </c>
      <c r="Y16" s="3">
        <f t="shared" si="11"/>
        <v>-7.3403230300000004</v>
      </c>
      <c r="Z16" s="3">
        <f t="shared" ref="Z16:Z23" si="12">Z15+P16</f>
        <v>-32.313013029999993</v>
      </c>
    </row>
    <row r="17" spans="1:26" x14ac:dyDescent="0.35">
      <c r="A17">
        <v>14</v>
      </c>
      <c r="B17" s="1">
        <v>948880</v>
      </c>
      <c r="C17" s="1">
        <v>1799260</v>
      </c>
      <c r="E17" s="1">
        <v>2734160</v>
      </c>
      <c r="G17" s="1">
        <v>-2077070</v>
      </c>
      <c r="H17" s="1">
        <v>-2882120</v>
      </c>
      <c r="J17" s="1">
        <v>-12894700</v>
      </c>
      <c r="L17">
        <v>14</v>
      </c>
      <c r="M17" s="2">
        <f t="shared" si="0"/>
        <v>0.94887999999999995</v>
      </c>
      <c r="N17" s="2">
        <f t="shared" si="0"/>
        <v>1.7992600000000001</v>
      </c>
      <c r="O17" s="2">
        <f t="shared" si="1"/>
        <v>0</v>
      </c>
      <c r="P17" s="2">
        <f t="shared" si="2"/>
        <v>2.7341600000000001</v>
      </c>
      <c r="Q17" s="2"/>
      <c r="R17" s="2">
        <f t="shared" si="3"/>
        <v>-2.07707</v>
      </c>
      <c r="S17" s="2">
        <f t="shared" si="4"/>
        <v>-2.88212</v>
      </c>
      <c r="T17" s="2">
        <f t="shared" si="5"/>
        <v>0</v>
      </c>
      <c r="U17" s="2">
        <f t="shared" si="6"/>
        <v>-12.8947</v>
      </c>
      <c r="W17" s="3">
        <f t="shared" si="10"/>
        <v>-1.3516400300000004</v>
      </c>
      <c r="X17" s="3">
        <f t="shared" si="10"/>
        <v>-3.2050630300000007</v>
      </c>
      <c r="Y17" s="3">
        <f t="shared" si="11"/>
        <v>-7.3403230300000004</v>
      </c>
      <c r="Z17" s="3">
        <f t="shared" si="12"/>
        <v>-29.578853029999994</v>
      </c>
    </row>
    <row r="18" spans="1:26" x14ac:dyDescent="0.35">
      <c r="A18">
        <v>15</v>
      </c>
      <c r="B18" s="1">
        <v>872328</v>
      </c>
      <c r="C18" s="1">
        <v>1731180</v>
      </c>
      <c r="E18" s="1">
        <v>2725150</v>
      </c>
      <c r="G18" s="1">
        <v>-1839550</v>
      </c>
      <c r="H18" s="1">
        <v>-2410750</v>
      </c>
      <c r="J18" s="1">
        <v>-12152700</v>
      </c>
      <c r="L18">
        <v>15</v>
      </c>
      <c r="M18" s="2">
        <f t="shared" si="0"/>
        <v>0.87232799999999999</v>
      </c>
      <c r="N18" s="2">
        <f t="shared" si="0"/>
        <v>1.7311799999999999</v>
      </c>
      <c r="O18" s="2">
        <f t="shared" si="1"/>
        <v>0</v>
      </c>
      <c r="P18" s="2">
        <f t="shared" si="2"/>
        <v>2.7251500000000002</v>
      </c>
      <c r="Q18" s="2"/>
      <c r="R18" s="2">
        <f t="shared" si="3"/>
        <v>-1.83955</v>
      </c>
      <c r="S18" s="2">
        <f t="shared" si="4"/>
        <v>-2.4107500000000002</v>
      </c>
      <c r="T18" s="2">
        <f t="shared" si="5"/>
        <v>0</v>
      </c>
      <c r="U18" s="2">
        <f t="shared" si="6"/>
        <v>-12.152699999999999</v>
      </c>
      <c r="W18" s="3">
        <f t="shared" si="10"/>
        <v>-0.47931203000000044</v>
      </c>
      <c r="X18" s="3">
        <f t="shared" si="10"/>
        <v>-1.4738830300000008</v>
      </c>
      <c r="Y18" s="3">
        <f t="shared" si="11"/>
        <v>-7.3403230300000004</v>
      </c>
      <c r="Z18" s="3">
        <f t="shared" si="12"/>
        <v>-26.853703029999995</v>
      </c>
    </row>
    <row r="19" spans="1:26" x14ac:dyDescent="0.35">
      <c r="A19">
        <v>16</v>
      </c>
      <c r="B19" s="1">
        <v>783472</v>
      </c>
      <c r="C19" s="1">
        <v>1650880</v>
      </c>
      <c r="E19" s="1">
        <v>2704980</v>
      </c>
      <c r="G19" s="1">
        <v>-1643940</v>
      </c>
      <c r="H19" s="1">
        <v>-1998590</v>
      </c>
      <c r="J19" s="1">
        <v>-11477400</v>
      </c>
      <c r="L19">
        <v>16</v>
      </c>
      <c r="M19" s="2">
        <f t="shared" si="0"/>
        <v>0.78347199999999995</v>
      </c>
      <c r="N19" s="2">
        <f t="shared" si="0"/>
        <v>1.6508799999999999</v>
      </c>
      <c r="O19" s="2">
        <f t="shared" si="1"/>
        <v>0</v>
      </c>
      <c r="P19" s="2">
        <f t="shared" si="2"/>
        <v>2.7049799999999999</v>
      </c>
      <c r="Q19" s="2"/>
      <c r="R19" s="2">
        <f t="shared" si="3"/>
        <v>-1.64394</v>
      </c>
      <c r="S19" s="2">
        <f t="shared" si="4"/>
        <v>-1.9985900000000001</v>
      </c>
      <c r="T19" s="2">
        <f t="shared" si="5"/>
        <v>0</v>
      </c>
      <c r="U19" s="2">
        <f t="shared" si="6"/>
        <v>-11.477399999999999</v>
      </c>
      <c r="W19" s="3">
        <f t="shared" si="10"/>
        <v>0.3041599699999995</v>
      </c>
      <c r="X19" s="3">
        <f t="shared" si="10"/>
        <v>0.17699696999999914</v>
      </c>
      <c r="Y19" s="3">
        <f t="shared" si="11"/>
        <v>-7.3403230300000004</v>
      </c>
      <c r="Z19" s="3">
        <f t="shared" si="12"/>
        <v>-24.148723029999996</v>
      </c>
    </row>
    <row r="20" spans="1:26" x14ac:dyDescent="0.35">
      <c r="A20">
        <v>17</v>
      </c>
      <c r="B20" s="1">
        <v>692828</v>
      </c>
      <c r="C20" s="1">
        <v>1568870</v>
      </c>
      <c r="E20" s="1">
        <v>2684220</v>
      </c>
      <c r="G20" s="1">
        <v>-1485340</v>
      </c>
      <c r="H20" s="1">
        <v>-1639440</v>
      </c>
      <c r="J20" s="1">
        <v>-10862900</v>
      </c>
      <c r="L20">
        <v>17</v>
      </c>
      <c r="M20" s="2">
        <f t="shared" si="0"/>
        <v>0.692828</v>
      </c>
      <c r="N20" s="2">
        <f t="shared" si="0"/>
        <v>1.56887</v>
      </c>
      <c r="O20" s="2">
        <f t="shared" si="1"/>
        <v>0</v>
      </c>
      <c r="P20" s="2">
        <f t="shared" si="2"/>
        <v>2.6842199999999998</v>
      </c>
      <c r="Q20" s="2"/>
      <c r="R20" s="2">
        <f t="shared" si="3"/>
        <v>-1.4853400000000001</v>
      </c>
      <c r="S20" s="2">
        <f t="shared" si="4"/>
        <v>-1.63944</v>
      </c>
      <c r="T20" s="2">
        <f t="shared" si="5"/>
        <v>0</v>
      </c>
      <c r="U20" s="2">
        <f t="shared" si="6"/>
        <v>-10.8629</v>
      </c>
      <c r="W20" s="3">
        <f t="shared" si="10"/>
        <v>0.9969879699999995</v>
      </c>
      <c r="X20" s="3">
        <f t="shared" si="10"/>
        <v>1.7458669699999991</v>
      </c>
      <c r="Y20" s="3">
        <f t="shared" si="11"/>
        <v>-7.3403230300000004</v>
      </c>
      <c r="Z20" s="3">
        <f t="shared" si="12"/>
        <v>-21.464503029999996</v>
      </c>
    </row>
    <row r="21" spans="1:26" x14ac:dyDescent="0.35">
      <c r="A21">
        <v>18</v>
      </c>
      <c r="B21" s="1">
        <v>610776</v>
      </c>
      <c r="C21" s="1">
        <v>1495540</v>
      </c>
      <c r="E21" s="1">
        <v>2673250</v>
      </c>
      <c r="G21" s="1">
        <v>-1357140</v>
      </c>
      <c r="H21" s="1">
        <v>-1325520</v>
      </c>
      <c r="J21" s="1">
        <v>-10301800</v>
      </c>
      <c r="L21">
        <v>18</v>
      </c>
      <c r="M21" s="2">
        <f t="shared" si="0"/>
        <v>0.61077599999999999</v>
      </c>
      <c r="N21" s="2">
        <f t="shared" si="0"/>
        <v>1.4955400000000001</v>
      </c>
      <c r="O21" s="2">
        <f t="shared" si="1"/>
        <v>0</v>
      </c>
      <c r="P21" s="2">
        <f t="shared" si="2"/>
        <v>2.6732499999999999</v>
      </c>
      <c r="Q21" s="2"/>
      <c r="R21" s="2">
        <f t="shared" si="3"/>
        <v>-1.35714</v>
      </c>
      <c r="S21" s="2">
        <f t="shared" si="4"/>
        <v>-1.32552</v>
      </c>
      <c r="T21" s="2">
        <f t="shared" si="5"/>
        <v>0</v>
      </c>
      <c r="U21" s="2">
        <f t="shared" si="6"/>
        <v>-10.3018</v>
      </c>
      <c r="W21" s="3">
        <f t="shared" si="10"/>
        <v>1.6077639699999995</v>
      </c>
      <c r="X21" s="3">
        <f t="shared" si="10"/>
        <v>3.241406969999999</v>
      </c>
      <c r="Y21" s="3">
        <f t="shared" si="11"/>
        <v>-7.3403230300000004</v>
      </c>
      <c r="Z21" s="3">
        <f t="shared" si="12"/>
        <v>-18.791253029999996</v>
      </c>
    </row>
    <row r="22" spans="1:26" x14ac:dyDescent="0.35">
      <c r="A22">
        <v>19</v>
      </c>
      <c r="B22" s="1">
        <v>526838</v>
      </c>
      <c r="C22" s="1">
        <v>1420400</v>
      </c>
      <c r="E22" s="1">
        <v>2661600</v>
      </c>
      <c r="G22" s="1">
        <v>-1255740</v>
      </c>
      <c r="H22" s="1">
        <v>-1052140</v>
      </c>
      <c r="J22" s="1">
        <v>-9789500</v>
      </c>
      <c r="L22">
        <v>19</v>
      </c>
      <c r="M22" s="2">
        <f t="shared" si="0"/>
        <v>0.52683800000000003</v>
      </c>
      <c r="N22" s="2">
        <f t="shared" si="0"/>
        <v>1.4204000000000001</v>
      </c>
      <c r="O22" s="2">
        <f t="shared" si="1"/>
        <v>0</v>
      </c>
      <c r="P22" s="2">
        <f t="shared" si="2"/>
        <v>2.6616</v>
      </c>
      <c r="Q22" s="2"/>
      <c r="R22" s="2">
        <f t="shared" si="3"/>
        <v>-1.2557400000000001</v>
      </c>
      <c r="S22" s="2">
        <f t="shared" si="4"/>
        <v>-1.0521400000000001</v>
      </c>
      <c r="T22" s="2">
        <f t="shared" si="5"/>
        <v>0</v>
      </c>
      <c r="U22" s="2">
        <f t="shared" si="6"/>
        <v>-9.7895000000000003</v>
      </c>
      <c r="W22" s="3">
        <f t="shared" si="10"/>
        <v>2.1346019699999994</v>
      </c>
      <c r="X22" s="3">
        <f t="shared" si="10"/>
        <v>4.6618069699999989</v>
      </c>
      <c r="Y22" s="3">
        <f t="shared" si="11"/>
        <v>-7.3403230300000004</v>
      </c>
      <c r="Z22" s="3">
        <f t="shared" si="12"/>
        <v>-16.129653029999997</v>
      </c>
    </row>
    <row r="23" spans="1:26" x14ac:dyDescent="0.35">
      <c r="A23">
        <v>20</v>
      </c>
      <c r="B23" s="1">
        <v>440981</v>
      </c>
      <c r="C23" s="1">
        <v>1343440</v>
      </c>
      <c r="E23" s="1">
        <v>2649260</v>
      </c>
      <c r="G23" s="1">
        <v>-1177910</v>
      </c>
      <c r="H23">
        <v>-815057</v>
      </c>
      <c r="J23" s="1">
        <v>-9321960</v>
      </c>
      <c r="L23">
        <v>20</v>
      </c>
      <c r="M23" s="2">
        <f t="shared" si="0"/>
        <v>0.44098100000000001</v>
      </c>
      <c r="N23" s="2">
        <f t="shared" si="0"/>
        <v>1.34344</v>
      </c>
      <c r="O23" s="2">
        <f t="shared" si="1"/>
        <v>0</v>
      </c>
      <c r="P23" s="2">
        <f t="shared" si="2"/>
        <v>2.6492599999999999</v>
      </c>
      <c r="Q23" s="2"/>
      <c r="R23" s="2">
        <f t="shared" si="3"/>
        <v>-1.17791</v>
      </c>
      <c r="S23" s="2">
        <f t="shared" si="4"/>
        <v>-0.81505700000000003</v>
      </c>
      <c r="T23" s="2">
        <f t="shared" si="5"/>
        <v>0</v>
      </c>
      <c r="U23" s="2">
        <f t="shared" si="6"/>
        <v>-9.3219600000000007</v>
      </c>
      <c r="W23" s="3">
        <f t="shared" si="10"/>
        <v>2.5755829699999992</v>
      </c>
      <c r="X23" s="3">
        <f t="shared" si="10"/>
        <v>6.0052469699999991</v>
      </c>
      <c r="Y23" s="3">
        <f t="shared" si="11"/>
        <v>-7.3403230300000004</v>
      </c>
      <c r="Z23" s="3">
        <f t="shared" si="12"/>
        <v>-13.480393029999997</v>
      </c>
    </row>
    <row r="24" spans="1:26" x14ac:dyDescent="0.35">
      <c r="A24">
        <v>21</v>
      </c>
      <c r="B24" s="1">
        <v>347025</v>
      </c>
      <c r="C24" s="1">
        <v>1258460</v>
      </c>
      <c r="E24" s="1">
        <v>2630080</v>
      </c>
      <c r="G24" s="1">
        <v>-1121760</v>
      </c>
      <c r="H24">
        <v>-611416</v>
      </c>
      <c r="J24" s="1">
        <v>-8896370</v>
      </c>
      <c r="L24">
        <v>21</v>
      </c>
      <c r="M24" s="2">
        <f t="shared" si="0"/>
        <v>0.34702499999999997</v>
      </c>
      <c r="N24" s="2">
        <f t="shared" si="0"/>
        <v>1.2584599999999999</v>
      </c>
      <c r="O24" s="2">
        <f t="shared" si="1"/>
        <v>0</v>
      </c>
      <c r="P24" s="2">
        <f t="shared" si="2"/>
        <v>2.63008</v>
      </c>
      <c r="Q24" s="2"/>
      <c r="R24" s="2">
        <f t="shared" si="3"/>
        <v>-1.1217600000000001</v>
      </c>
      <c r="S24" s="2">
        <f t="shared" si="4"/>
        <v>-0.61141599999999996</v>
      </c>
      <c r="T24" s="2">
        <f t="shared" si="5"/>
        <v>0</v>
      </c>
      <c r="U24" s="2">
        <f t="shared" si="6"/>
        <v>-8.8963699999999992</v>
      </c>
    </row>
    <row r="25" spans="1:26" x14ac:dyDescent="0.35">
      <c r="A25">
        <v>22</v>
      </c>
      <c r="B25" s="1">
        <v>251081</v>
      </c>
      <c r="C25" s="1">
        <v>1171580</v>
      </c>
      <c r="E25" s="1">
        <v>2610170</v>
      </c>
      <c r="G25" s="1">
        <v>-1084510</v>
      </c>
      <c r="H25">
        <v>-437583</v>
      </c>
      <c r="J25" s="1">
        <v>-8509080</v>
      </c>
      <c r="L25">
        <v>22</v>
      </c>
      <c r="M25" s="2">
        <f t="shared" si="0"/>
        <v>0.251081</v>
      </c>
      <c r="N25" s="2">
        <f t="shared" si="0"/>
        <v>1.1715800000000001</v>
      </c>
      <c r="O25" s="2">
        <f t="shared" si="1"/>
        <v>0</v>
      </c>
      <c r="P25" s="2">
        <f t="shared" si="2"/>
        <v>2.6101700000000001</v>
      </c>
      <c r="Q25" s="2"/>
      <c r="R25" s="2">
        <f t="shared" si="3"/>
        <v>-1.0845100000000001</v>
      </c>
      <c r="S25" s="2">
        <f t="shared" si="4"/>
        <v>-0.437583</v>
      </c>
      <c r="T25" s="2">
        <f t="shared" si="5"/>
        <v>0</v>
      </c>
      <c r="U25" s="2">
        <f t="shared" si="6"/>
        <v>-8.5090800000000009</v>
      </c>
    </row>
    <row r="26" spans="1:26" x14ac:dyDescent="0.35">
      <c r="A26">
        <v>23</v>
      </c>
      <c r="B26" s="1">
        <v>159262</v>
      </c>
      <c r="C26" s="1">
        <v>1088910</v>
      </c>
      <c r="E26" s="1">
        <v>2595680</v>
      </c>
      <c r="G26" s="1">
        <v>-1062840</v>
      </c>
      <c r="H26">
        <v>-289439</v>
      </c>
      <c r="J26" s="1">
        <v>-8155950</v>
      </c>
      <c r="L26">
        <v>23</v>
      </c>
      <c r="M26" s="2">
        <f t="shared" si="0"/>
        <v>0.15926199999999999</v>
      </c>
      <c r="N26" s="2">
        <f t="shared" si="0"/>
        <v>1.08891</v>
      </c>
      <c r="O26" s="2">
        <f t="shared" si="1"/>
        <v>0</v>
      </c>
      <c r="P26" s="2">
        <f t="shared" si="2"/>
        <v>2.5956800000000002</v>
      </c>
      <c r="Q26" s="2"/>
      <c r="R26" s="5">
        <f t="shared" si="3"/>
        <v>-1.06284</v>
      </c>
      <c r="S26" s="5">
        <f t="shared" si="4"/>
        <v>-0.289439</v>
      </c>
      <c r="T26" s="2">
        <f t="shared" si="5"/>
        <v>0</v>
      </c>
      <c r="U26" s="5">
        <f t="shared" si="6"/>
        <v>-8.1559500000000007</v>
      </c>
    </row>
    <row r="27" spans="1:26" x14ac:dyDescent="0.35">
      <c r="A27">
        <v>24</v>
      </c>
      <c r="B27" s="1">
        <v>65388.800000000003</v>
      </c>
      <c r="C27" s="1">
        <v>1004270</v>
      </c>
      <c r="E27" s="1">
        <v>2580430</v>
      </c>
      <c r="G27" s="1">
        <v>-1054680</v>
      </c>
      <c r="H27">
        <v>-164159</v>
      </c>
      <c r="J27" s="1">
        <v>-7834050</v>
      </c>
      <c r="L27">
        <v>24</v>
      </c>
      <c r="M27" s="2">
        <f t="shared" si="0"/>
        <v>6.5388799999999997E-2</v>
      </c>
      <c r="N27" s="2">
        <f t="shared" si="0"/>
        <v>1.00427</v>
      </c>
      <c r="O27" s="2">
        <f t="shared" si="1"/>
        <v>0</v>
      </c>
      <c r="P27" s="2">
        <f t="shared" si="2"/>
        <v>2.5804299999999998</v>
      </c>
      <c r="Q27" s="2"/>
      <c r="R27" s="2">
        <f t="shared" si="3"/>
        <v>-1.0546800000000001</v>
      </c>
      <c r="S27" s="2">
        <f t="shared" si="4"/>
        <v>-0.164159</v>
      </c>
      <c r="T27" s="2">
        <f t="shared" si="5"/>
        <v>0</v>
      </c>
      <c r="U27" s="2">
        <f t="shared" si="6"/>
        <v>-7.8340500000000004</v>
      </c>
    </row>
    <row r="28" spans="1:26" x14ac:dyDescent="0.35">
      <c r="A28">
        <v>25</v>
      </c>
      <c r="B28" s="1">
        <v>649262</v>
      </c>
      <c r="C28" s="1">
        <v>1597460</v>
      </c>
      <c r="E28" s="1">
        <v>3244240</v>
      </c>
      <c r="G28" s="1">
        <v>-980417</v>
      </c>
      <c r="H28">
        <v>18563.7</v>
      </c>
      <c r="J28" s="1">
        <v>-7462960</v>
      </c>
      <c r="L28">
        <v>25</v>
      </c>
      <c r="M28" s="2">
        <f t="shared" si="0"/>
        <v>0.64926200000000001</v>
      </c>
      <c r="N28" s="2">
        <f t="shared" si="0"/>
        <v>1.5974600000000001</v>
      </c>
      <c r="O28" s="2">
        <f t="shared" si="1"/>
        <v>0</v>
      </c>
      <c r="P28" s="2">
        <f t="shared" si="2"/>
        <v>3.24424</v>
      </c>
      <c r="Q28" s="2"/>
      <c r="R28" s="2">
        <f t="shared" si="3"/>
        <v>-0.98041699999999998</v>
      </c>
      <c r="S28" s="2">
        <f t="shared" si="4"/>
        <v>1.8563700000000002E-2</v>
      </c>
      <c r="T28" s="2">
        <f t="shared" si="5"/>
        <v>0</v>
      </c>
      <c r="U28" s="2">
        <f t="shared" si="6"/>
        <v>-7.4629599999999998</v>
      </c>
    </row>
    <row r="33" spans="2:12" x14ac:dyDescent="0.35">
      <c r="J33" t="s">
        <v>11</v>
      </c>
      <c r="K33" t="s">
        <v>13</v>
      </c>
      <c r="L33" t="s">
        <v>12</v>
      </c>
    </row>
    <row r="34" spans="2:12" x14ac:dyDescent="0.35">
      <c r="J34">
        <v>1</v>
      </c>
      <c r="K34" s="1">
        <v>-13557300</v>
      </c>
      <c r="L34" s="1">
        <v>-13557300</v>
      </c>
    </row>
    <row r="35" spans="2:12" x14ac:dyDescent="0.35">
      <c r="B35">
        <v>4.3</v>
      </c>
      <c r="C35">
        <v>2.1</v>
      </c>
      <c r="D35">
        <v>0.7</v>
      </c>
      <c r="J35">
        <v>2</v>
      </c>
      <c r="K35" s="1">
        <v>-4423200</v>
      </c>
      <c r="L35" s="1">
        <v>9961670</v>
      </c>
    </row>
    <row r="36" spans="2:12" x14ac:dyDescent="0.35">
      <c r="J36">
        <v>3</v>
      </c>
      <c r="K36" s="1">
        <v>-2528160</v>
      </c>
      <c r="L36" s="1">
        <v>2253980</v>
      </c>
    </row>
    <row r="37" spans="2:12" x14ac:dyDescent="0.35">
      <c r="C37" t="s">
        <v>14</v>
      </c>
      <c r="D37" t="s">
        <v>10</v>
      </c>
      <c r="E37" t="s">
        <v>15</v>
      </c>
      <c r="F37" t="s">
        <v>16</v>
      </c>
      <c r="J37">
        <v>4</v>
      </c>
      <c r="K37" s="1">
        <v>-1520630</v>
      </c>
      <c r="L37" s="1">
        <v>1306930</v>
      </c>
    </row>
    <row r="38" spans="2:12" x14ac:dyDescent="0.35">
      <c r="B38">
        <v>1</v>
      </c>
      <c r="C38">
        <v>0</v>
      </c>
      <c r="D38">
        <v>0</v>
      </c>
      <c r="E38">
        <v>0</v>
      </c>
      <c r="F38">
        <f>E35</f>
        <v>0</v>
      </c>
      <c r="J38">
        <v>5</v>
      </c>
      <c r="K38" s="1">
        <v>-1042570</v>
      </c>
      <c r="L38" s="1">
        <v>676313</v>
      </c>
    </row>
    <row r="39" spans="2:12" x14ac:dyDescent="0.35">
      <c r="B39">
        <f>B38+1</f>
        <v>2</v>
      </c>
      <c r="C39">
        <f>B35</f>
        <v>4.3</v>
      </c>
      <c r="D39">
        <f>C39</f>
        <v>4.3</v>
      </c>
      <c r="E39">
        <f>C35</f>
        <v>2.1</v>
      </c>
      <c r="F39">
        <f>F38+$B$35</f>
        <v>4.3</v>
      </c>
      <c r="J39">
        <v>6</v>
      </c>
      <c r="K39" s="1">
        <v>-703987</v>
      </c>
      <c r="L39" s="1">
        <v>522382</v>
      </c>
    </row>
    <row r="40" spans="2:12" x14ac:dyDescent="0.35">
      <c r="B40">
        <f t="shared" ref="B40:B80" si="13">B39+1</f>
        <v>3</v>
      </c>
      <c r="C40">
        <f>C39+$B$35</f>
        <v>8.6</v>
      </c>
      <c r="D40">
        <f t="shared" ref="D40:D49" si="14">C40</f>
        <v>8.6</v>
      </c>
      <c r="E40">
        <f>E39+$C$35</f>
        <v>4.2</v>
      </c>
      <c r="F40">
        <f t="shared" ref="F40:F48" si="15">F39+$B$35</f>
        <v>8.6</v>
      </c>
      <c r="J40">
        <v>7</v>
      </c>
      <c r="K40" s="1">
        <v>-702556</v>
      </c>
      <c r="L40" s="1">
        <v>2407.9699999999998</v>
      </c>
    </row>
    <row r="41" spans="2:12" x14ac:dyDescent="0.35">
      <c r="B41">
        <f t="shared" si="13"/>
        <v>4</v>
      </c>
      <c r="C41">
        <f t="shared" ref="C41:C50" si="16">C40+$B$35</f>
        <v>12.899999999999999</v>
      </c>
      <c r="D41">
        <f t="shared" si="14"/>
        <v>12.899999999999999</v>
      </c>
      <c r="E41">
        <f t="shared" ref="E41:E63" si="17">E40+$C$35</f>
        <v>6.3000000000000007</v>
      </c>
      <c r="F41">
        <f t="shared" si="15"/>
        <v>12.899999999999999</v>
      </c>
      <c r="J41">
        <v>8</v>
      </c>
      <c r="K41">
        <v>-987222</v>
      </c>
      <c r="L41" s="1">
        <v>-522389</v>
      </c>
    </row>
    <row r="42" spans="2:12" x14ac:dyDescent="0.35">
      <c r="B42">
        <f t="shared" si="13"/>
        <v>5</v>
      </c>
      <c r="C42">
        <f t="shared" si="16"/>
        <v>17.2</v>
      </c>
      <c r="D42">
        <f t="shared" si="14"/>
        <v>17.2</v>
      </c>
      <c r="E42">
        <f t="shared" si="17"/>
        <v>8.4</v>
      </c>
      <c r="F42">
        <f t="shared" si="15"/>
        <v>17.2</v>
      </c>
      <c r="J42">
        <v>9</v>
      </c>
      <c r="K42" s="1">
        <v>-1332610</v>
      </c>
      <c r="L42" s="1">
        <v>-691240</v>
      </c>
    </row>
    <row r="43" spans="2:12" x14ac:dyDescent="0.35">
      <c r="B43">
        <f t="shared" si="13"/>
        <v>6</v>
      </c>
      <c r="C43">
        <f t="shared" si="16"/>
        <v>21.5</v>
      </c>
      <c r="D43">
        <f t="shared" si="14"/>
        <v>21.5</v>
      </c>
      <c r="E43">
        <f t="shared" si="17"/>
        <v>10.5</v>
      </c>
      <c r="F43">
        <f t="shared" si="15"/>
        <v>21.5</v>
      </c>
      <c r="J43">
        <v>10</v>
      </c>
      <c r="K43" s="1">
        <v>-1729280</v>
      </c>
      <c r="L43" s="1">
        <v>-865807</v>
      </c>
    </row>
    <row r="44" spans="2:12" x14ac:dyDescent="0.35">
      <c r="B44">
        <f t="shared" si="13"/>
        <v>7</v>
      </c>
      <c r="C44">
        <f t="shared" si="16"/>
        <v>25.8</v>
      </c>
      <c r="D44">
        <f t="shared" si="14"/>
        <v>25.8</v>
      </c>
      <c r="E44">
        <f t="shared" si="17"/>
        <v>12.6</v>
      </c>
      <c r="F44">
        <f t="shared" si="15"/>
        <v>25.8</v>
      </c>
      <c r="J44" s="1">
        <v>11</v>
      </c>
      <c r="K44" s="1">
        <v>-2168900</v>
      </c>
      <c r="L44" s="1">
        <v>-1046480</v>
      </c>
    </row>
    <row r="45" spans="2:12" x14ac:dyDescent="0.35">
      <c r="B45">
        <f t="shared" si="13"/>
        <v>8</v>
      </c>
      <c r="C45">
        <f t="shared" si="16"/>
        <v>30.1</v>
      </c>
      <c r="D45">
        <f t="shared" si="14"/>
        <v>30.1</v>
      </c>
      <c r="E45">
        <f t="shared" si="17"/>
        <v>14.7</v>
      </c>
      <c r="F45">
        <f t="shared" si="15"/>
        <v>30.1</v>
      </c>
      <c r="J45" s="1">
        <v>12</v>
      </c>
      <c r="K45" s="1">
        <v>-11035600</v>
      </c>
      <c r="L45" s="1">
        <v>-23018800</v>
      </c>
    </row>
    <row r="46" spans="2:12" x14ac:dyDescent="0.35">
      <c r="B46">
        <f t="shared" si="13"/>
        <v>9</v>
      </c>
      <c r="C46">
        <f t="shared" si="16"/>
        <v>34.4</v>
      </c>
      <c r="D46">
        <f t="shared" si="14"/>
        <v>34.4</v>
      </c>
      <c r="E46">
        <f t="shared" si="17"/>
        <v>16.8</v>
      </c>
      <c r="F46">
        <f t="shared" si="15"/>
        <v>34.4</v>
      </c>
      <c r="J46" s="1">
        <v>13</v>
      </c>
      <c r="K46" s="1">
        <v>-14594800</v>
      </c>
      <c r="L46" s="1">
        <v>-10077300</v>
      </c>
    </row>
    <row r="47" spans="2:12" x14ac:dyDescent="0.35">
      <c r="B47">
        <f t="shared" si="13"/>
        <v>10</v>
      </c>
      <c r="C47">
        <f t="shared" si="16"/>
        <v>38.699999999999996</v>
      </c>
      <c r="D47">
        <f t="shared" si="14"/>
        <v>38.699999999999996</v>
      </c>
      <c r="E47">
        <f t="shared" si="17"/>
        <v>18.900000000000002</v>
      </c>
      <c r="F47">
        <f t="shared" si="15"/>
        <v>38.699999999999996</v>
      </c>
      <c r="J47" s="1">
        <v>14</v>
      </c>
      <c r="K47" s="1">
        <v>-13706600</v>
      </c>
      <c r="L47" s="1">
        <v>2742620</v>
      </c>
    </row>
    <row r="48" spans="2:12" x14ac:dyDescent="0.35">
      <c r="B48">
        <f t="shared" si="13"/>
        <v>11</v>
      </c>
      <c r="C48">
        <f t="shared" si="16"/>
        <v>42.999999999999993</v>
      </c>
      <c r="D48">
        <f t="shared" si="14"/>
        <v>42.999999999999993</v>
      </c>
      <c r="E48">
        <f t="shared" si="17"/>
        <v>21.000000000000004</v>
      </c>
      <c r="F48">
        <f t="shared" si="15"/>
        <v>42.999999999999993</v>
      </c>
      <c r="J48">
        <v>15</v>
      </c>
      <c r="K48" s="1">
        <v>-12894700</v>
      </c>
      <c r="L48" s="1">
        <v>2734160</v>
      </c>
    </row>
    <row r="49" spans="2:12" x14ac:dyDescent="0.35">
      <c r="B49">
        <f t="shared" si="13"/>
        <v>12</v>
      </c>
      <c r="C49">
        <f t="shared" si="16"/>
        <v>47.29999999999999</v>
      </c>
      <c r="D49">
        <f t="shared" si="14"/>
        <v>47.29999999999999</v>
      </c>
      <c r="E49">
        <f t="shared" si="17"/>
        <v>23.100000000000005</v>
      </c>
      <c r="F49">
        <v>47.3</v>
      </c>
      <c r="J49">
        <v>16</v>
      </c>
      <c r="K49" s="1">
        <v>-12152700</v>
      </c>
      <c r="L49" s="1">
        <v>2725150</v>
      </c>
    </row>
    <row r="50" spans="2:12" x14ac:dyDescent="0.35">
      <c r="B50">
        <f t="shared" si="13"/>
        <v>13</v>
      </c>
      <c r="C50">
        <f>C49+$C$35</f>
        <v>49.399999999999991</v>
      </c>
      <c r="D50">
        <f>E50</f>
        <v>25.200000000000006</v>
      </c>
      <c r="E50">
        <f t="shared" si="17"/>
        <v>25.200000000000006</v>
      </c>
      <c r="F50">
        <v>0</v>
      </c>
      <c r="J50">
        <v>17</v>
      </c>
      <c r="K50" s="1">
        <v>-11477400</v>
      </c>
      <c r="L50" s="1">
        <v>2704980</v>
      </c>
    </row>
    <row r="51" spans="2:12" x14ac:dyDescent="0.35">
      <c r="B51">
        <f t="shared" si="13"/>
        <v>14</v>
      </c>
      <c r="C51">
        <f t="shared" ref="C51:C63" si="18">C50+$C$35</f>
        <v>51.499999999999993</v>
      </c>
      <c r="D51">
        <f>E51</f>
        <v>27.300000000000008</v>
      </c>
      <c r="E51">
        <f t="shared" si="17"/>
        <v>27.300000000000008</v>
      </c>
      <c r="F51">
        <f>D35</f>
        <v>0.7</v>
      </c>
      <c r="J51">
        <v>18</v>
      </c>
      <c r="K51" s="1">
        <v>-10862900</v>
      </c>
      <c r="L51" s="1">
        <v>2684220</v>
      </c>
    </row>
    <row r="52" spans="2:12" x14ac:dyDescent="0.35">
      <c r="B52">
        <f t="shared" si="13"/>
        <v>15</v>
      </c>
      <c r="C52">
        <f t="shared" si="18"/>
        <v>53.599999999999994</v>
      </c>
      <c r="D52">
        <f t="shared" ref="D52:D63" si="19">E52</f>
        <v>29.400000000000009</v>
      </c>
      <c r="E52">
        <f t="shared" si="17"/>
        <v>29.400000000000009</v>
      </c>
      <c r="F52">
        <f>F51+$D$35</f>
        <v>1.4</v>
      </c>
      <c r="J52">
        <v>19</v>
      </c>
      <c r="K52" s="1">
        <v>-10301800</v>
      </c>
      <c r="L52" s="1">
        <v>2673250</v>
      </c>
    </row>
    <row r="53" spans="2:12" x14ac:dyDescent="0.35">
      <c r="B53">
        <f t="shared" si="13"/>
        <v>16</v>
      </c>
      <c r="C53">
        <f t="shared" si="18"/>
        <v>55.699999999999996</v>
      </c>
      <c r="D53">
        <f t="shared" si="19"/>
        <v>31.500000000000011</v>
      </c>
      <c r="E53">
        <f t="shared" si="17"/>
        <v>31.500000000000011</v>
      </c>
      <c r="F53">
        <f>F52+$D$35</f>
        <v>2.0999999999999996</v>
      </c>
      <c r="J53">
        <v>20</v>
      </c>
      <c r="K53" s="1">
        <v>-9789500</v>
      </c>
      <c r="L53" s="1">
        <v>2661600</v>
      </c>
    </row>
    <row r="54" spans="2:12" x14ac:dyDescent="0.35">
      <c r="B54">
        <f t="shared" si="13"/>
        <v>17</v>
      </c>
      <c r="C54">
        <f t="shared" si="18"/>
        <v>57.8</v>
      </c>
      <c r="D54">
        <f t="shared" si="19"/>
        <v>33.600000000000009</v>
      </c>
      <c r="E54">
        <f t="shared" si="17"/>
        <v>33.600000000000009</v>
      </c>
      <c r="F54">
        <f>F53+$D$35</f>
        <v>2.8</v>
      </c>
      <c r="J54" s="1">
        <v>21</v>
      </c>
      <c r="K54" s="1">
        <v>-9321960</v>
      </c>
      <c r="L54" s="1">
        <v>2649260</v>
      </c>
    </row>
    <row r="55" spans="2:12" x14ac:dyDescent="0.35">
      <c r="B55">
        <f t="shared" si="13"/>
        <v>18</v>
      </c>
      <c r="C55">
        <f t="shared" si="18"/>
        <v>59.9</v>
      </c>
      <c r="D55">
        <f t="shared" si="19"/>
        <v>35.70000000000001</v>
      </c>
      <c r="E55">
        <f t="shared" si="17"/>
        <v>35.70000000000001</v>
      </c>
      <c r="F55">
        <f>F54+$D$35</f>
        <v>3.5</v>
      </c>
      <c r="J55" s="1">
        <v>22</v>
      </c>
      <c r="K55" s="1">
        <v>-8896370</v>
      </c>
      <c r="L55" s="1">
        <v>2630080</v>
      </c>
    </row>
    <row r="56" spans="2:12" x14ac:dyDescent="0.35">
      <c r="B56">
        <f t="shared" si="13"/>
        <v>19</v>
      </c>
      <c r="C56">
        <f t="shared" si="18"/>
        <v>62</v>
      </c>
      <c r="D56">
        <f t="shared" si="19"/>
        <v>37.800000000000011</v>
      </c>
      <c r="E56">
        <f t="shared" si="17"/>
        <v>37.800000000000011</v>
      </c>
      <c r="F56">
        <f>F55+$D$35</f>
        <v>4.2</v>
      </c>
      <c r="J56">
        <v>23</v>
      </c>
      <c r="K56" s="1">
        <v>-8509080</v>
      </c>
      <c r="L56" s="1">
        <v>2610170</v>
      </c>
    </row>
    <row r="57" spans="2:12" x14ac:dyDescent="0.35">
      <c r="B57">
        <f t="shared" si="13"/>
        <v>20</v>
      </c>
      <c r="C57">
        <f t="shared" si="18"/>
        <v>64.099999999999994</v>
      </c>
      <c r="D57">
        <f t="shared" si="19"/>
        <v>39.900000000000013</v>
      </c>
      <c r="E57">
        <f t="shared" si="17"/>
        <v>39.900000000000013</v>
      </c>
      <c r="F57">
        <f>F56+$D$35</f>
        <v>4.9000000000000004</v>
      </c>
      <c r="J57" s="1">
        <v>24</v>
      </c>
      <c r="K57" s="1">
        <v>-8155950</v>
      </c>
      <c r="L57" s="1">
        <v>2595680</v>
      </c>
    </row>
    <row r="58" spans="2:12" x14ac:dyDescent="0.35">
      <c r="B58">
        <f t="shared" si="13"/>
        <v>21</v>
      </c>
      <c r="C58">
        <f t="shared" si="18"/>
        <v>66.199999999999989</v>
      </c>
      <c r="D58">
        <f t="shared" si="19"/>
        <v>42.000000000000014</v>
      </c>
      <c r="E58">
        <f t="shared" si="17"/>
        <v>42.000000000000014</v>
      </c>
      <c r="F58">
        <f>F57+$D$35</f>
        <v>5.6000000000000005</v>
      </c>
      <c r="J58" s="1">
        <v>25</v>
      </c>
      <c r="K58" s="1">
        <v>-7834050</v>
      </c>
      <c r="L58" s="1">
        <v>2580430</v>
      </c>
    </row>
    <row r="59" spans="2:12" x14ac:dyDescent="0.35">
      <c r="B59">
        <f t="shared" si="13"/>
        <v>22</v>
      </c>
      <c r="C59">
        <f t="shared" si="18"/>
        <v>68.299999999999983</v>
      </c>
      <c r="D59">
        <f t="shared" si="19"/>
        <v>44.100000000000016</v>
      </c>
      <c r="E59">
        <f t="shared" si="17"/>
        <v>44.100000000000016</v>
      </c>
      <c r="F59">
        <f>F58+$D$35</f>
        <v>6.3000000000000007</v>
      </c>
      <c r="J59" s="1">
        <v>26</v>
      </c>
      <c r="K59" s="1">
        <v>-7462960</v>
      </c>
      <c r="L59" s="1">
        <v>3244240</v>
      </c>
    </row>
    <row r="60" spans="2:12" x14ac:dyDescent="0.35">
      <c r="B60">
        <f t="shared" si="13"/>
        <v>23</v>
      </c>
      <c r="C60">
        <f t="shared" si="18"/>
        <v>70.399999999999977</v>
      </c>
      <c r="D60">
        <f t="shared" si="19"/>
        <v>46.200000000000017</v>
      </c>
      <c r="E60">
        <f t="shared" si="17"/>
        <v>46.200000000000017</v>
      </c>
      <c r="F60">
        <f>F59+$D$35</f>
        <v>7.0000000000000009</v>
      </c>
      <c r="J60" s="1"/>
      <c r="K60" s="1"/>
    </row>
    <row r="61" spans="2:12" x14ac:dyDescent="0.35">
      <c r="B61">
        <f t="shared" si="13"/>
        <v>24</v>
      </c>
      <c r="C61">
        <f t="shared" si="18"/>
        <v>72.499999999999972</v>
      </c>
      <c r="D61">
        <f t="shared" si="19"/>
        <v>48.300000000000018</v>
      </c>
      <c r="E61">
        <f t="shared" si="17"/>
        <v>48.300000000000018</v>
      </c>
      <c r="F61">
        <f>F60+$D$35</f>
        <v>7.7000000000000011</v>
      </c>
      <c r="J61" s="1"/>
      <c r="K61" s="1"/>
    </row>
    <row r="62" spans="2:12" x14ac:dyDescent="0.35">
      <c r="B62">
        <f t="shared" si="13"/>
        <v>25</v>
      </c>
      <c r="C62">
        <f t="shared" si="18"/>
        <v>74.599999999999966</v>
      </c>
      <c r="D62">
        <f t="shared" si="19"/>
        <v>50.40000000000002</v>
      </c>
      <c r="E62">
        <f t="shared" si="17"/>
        <v>50.40000000000002</v>
      </c>
      <c r="F62">
        <f>F61+$D$35</f>
        <v>8.4</v>
      </c>
      <c r="J62" s="1"/>
      <c r="K62" s="1"/>
    </row>
    <row r="63" spans="2:12" x14ac:dyDescent="0.35">
      <c r="B63">
        <f t="shared" si="13"/>
        <v>26</v>
      </c>
      <c r="C63">
        <f t="shared" si="18"/>
        <v>76.69999999999996</v>
      </c>
      <c r="D63">
        <f t="shared" si="19"/>
        <v>52.500000000000021</v>
      </c>
      <c r="E63">
        <f t="shared" si="17"/>
        <v>52.500000000000021</v>
      </c>
      <c r="F63">
        <f>F62+$D$35</f>
        <v>9.1</v>
      </c>
      <c r="J63" s="1"/>
    </row>
    <row r="64" spans="2:12" x14ac:dyDescent="0.35">
      <c r="B64">
        <f t="shared" si="13"/>
        <v>27</v>
      </c>
      <c r="F64">
        <f>F63+$D$35</f>
        <v>9.7999999999999989</v>
      </c>
      <c r="J64" s="1"/>
    </row>
    <row r="65" spans="2:11" x14ac:dyDescent="0.35">
      <c r="B65">
        <f t="shared" si="13"/>
        <v>28</v>
      </c>
      <c r="F65">
        <f>F64+$D$35</f>
        <v>10.499999999999998</v>
      </c>
      <c r="J65" s="1"/>
    </row>
    <row r="66" spans="2:11" x14ac:dyDescent="0.35">
      <c r="B66">
        <f t="shared" si="13"/>
        <v>29</v>
      </c>
      <c r="F66">
        <f>F65+$D$35</f>
        <v>11.199999999999998</v>
      </c>
      <c r="J66" s="1"/>
    </row>
    <row r="67" spans="2:11" x14ac:dyDescent="0.35">
      <c r="B67">
        <f t="shared" si="13"/>
        <v>30</v>
      </c>
      <c r="F67">
        <f>F66+$D$35</f>
        <v>11.899999999999997</v>
      </c>
      <c r="J67" s="1"/>
      <c r="K67" s="1"/>
    </row>
    <row r="68" spans="2:11" x14ac:dyDescent="0.35">
      <c r="B68">
        <f t="shared" si="13"/>
        <v>31</v>
      </c>
      <c r="F68">
        <f>F67+$D$35</f>
        <v>12.599999999999996</v>
      </c>
      <c r="J68" s="1"/>
      <c r="K68" s="1"/>
    </row>
    <row r="69" spans="2:11" x14ac:dyDescent="0.35">
      <c r="B69">
        <f t="shared" si="13"/>
        <v>32</v>
      </c>
      <c r="J69" s="1"/>
      <c r="K69" s="1"/>
    </row>
    <row r="70" spans="2:11" x14ac:dyDescent="0.35">
      <c r="B70">
        <f t="shared" si="13"/>
        <v>33</v>
      </c>
    </row>
    <row r="71" spans="2:11" x14ac:dyDescent="0.35">
      <c r="B71">
        <f t="shared" si="13"/>
        <v>34</v>
      </c>
    </row>
    <row r="72" spans="2:11" x14ac:dyDescent="0.35">
      <c r="B72">
        <f t="shared" si="13"/>
        <v>35</v>
      </c>
    </row>
    <row r="73" spans="2:11" x14ac:dyDescent="0.35">
      <c r="B73">
        <f t="shared" si="13"/>
        <v>36</v>
      </c>
    </row>
    <row r="74" spans="2:11" x14ac:dyDescent="0.35">
      <c r="B74">
        <f t="shared" si="13"/>
        <v>37</v>
      </c>
    </row>
    <row r="75" spans="2:11" x14ac:dyDescent="0.35">
      <c r="B75">
        <f t="shared" si="13"/>
        <v>38</v>
      </c>
    </row>
    <row r="76" spans="2:11" x14ac:dyDescent="0.35">
      <c r="B76">
        <f t="shared" si="13"/>
        <v>39</v>
      </c>
    </row>
    <row r="77" spans="2:11" x14ac:dyDescent="0.35">
      <c r="B77">
        <f t="shared" si="13"/>
        <v>40</v>
      </c>
    </row>
    <row r="78" spans="2:11" x14ac:dyDescent="0.35">
      <c r="B78">
        <f t="shared" si="13"/>
        <v>41</v>
      </c>
    </row>
    <row r="79" spans="2:11" x14ac:dyDescent="0.35">
      <c r="B79">
        <f t="shared" si="13"/>
        <v>42</v>
      </c>
    </row>
    <row r="80" spans="2:11" x14ac:dyDescent="0.35">
      <c r="B80">
        <f t="shared" si="13"/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573A-5CCB-4F9D-A147-E338BA79484A}">
  <dimension ref="A1:Z69"/>
  <sheetViews>
    <sheetView tabSelected="1" workbookViewId="0">
      <selection activeCell="H29" sqref="H29"/>
    </sheetView>
  </sheetViews>
  <sheetFormatPr defaultRowHeight="14.5" x14ac:dyDescent="0.35"/>
  <cols>
    <col min="1" max="1" width="4.7265625" bestFit="1" customWidth="1"/>
    <col min="6" max="6" width="4.7265625" customWidth="1"/>
    <col min="7" max="8" width="13" customWidth="1"/>
    <col min="9" max="9" width="9" bestFit="1" customWidth="1"/>
    <col min="12" max="12" width="4.7265625" bestFit="1" customWidth="1"/>
    <col min="13" max="13" width="9" bestFit="1" customWidth="1"/>
    <col min="14" max="14" width="9" customWidth="1"/>
    <col min="17" max="17" width="3.26953125" customWidth="1"/>
    <col min="22" max="22" width="2.7265625" customWidth="1"/>
  </cols>
  <sheetData>
    <row r="1" spans="1:26" x14ac:dyDescent="0.35">
      <c r="B1" t="s">
        <v>1</v>
      </c>
      <c r="G1" t="s">
        <v>5</v>
      </c>
      <c r="M1" t="s">
        <v>1</v>
      </c>
      <c r="R1" t="s">
        <v>5</v>
      </c>
      <c r="W1" t="s">
        <v>9</v>
      </c>
    </row>
    <row r="2" spans="1:26" x14ac:dyDescent="0.35">
      <c r="A2" t="s">
        <v>0</v>
      </c>
      <c r="B2" t="s">
        <v>2</v>
      </c>
      <c r="C2" t="s">
        <v>10</v>
      </c>
      <c r="D2" t="s">
        <v>3</v>
      </c>
      <c r="E2" t="s">
        <v>4</v>
      </c>
      <c r="G2" t="s">
        <v>2</v>
      </c>
      <c r="H2" t="s">
        <v>10</v>
      </c>
      <c r="I2" t="s">
        <v>3</v>
      </c>
      <c r="J2" t="s">
        <v>4</v>
      </c>
      <c r="L2" t="s">
        <v>0</v>
      </c>
      <c r="M2" t="s">
        <v>6</v>
      </c>
      <c r="N2" t="s">
        <v>10</v>
      </c>
      <c r="O2" t="s">
        <v>7</v>
      </c>
      <c r="P2" t="s">
        <v>8</v>
      </c>
      <c r="R2" t="s">
        <v>6</v>
      </c>
      <c r="S2" t="s">
        <v>10</v>
      </c>
      <c r="T2" t="s">
        <v>7</v>
      </c>
      <c r="U2" t="s">
        <v>8</v>
      </c>
      <c r="W2" t="s">
        <v>6</v>
      </c>
      <c r="X2" t="s">
        <v>10</v>
      </c>
      <c r="Y2" t="s">
        <v>7</v>
      </c>
      <c r="Z2" t="s">
        <v>8</v>
      </c>
    </row>
    <row r="3" spans="1:26" x14ac:dyDescent="0.35">
      <c r="A3">
        <v>0</v>
      </c>
      <c r="B3" s="1">
        <v>-13557300</v>
      </c>
      <c r="C3" s="1">
        <v>-13557300</v>
      </c>
      <c r="D3" s="1">
        <v>-13557300</v>
      </c>
      <c r="E3" s="1">
        <v>-13557300</v>
      </c>
      <c r="G3" s="1">
        <v>-13557300</v>
      </c>
      <c r="H3" s="1">
        <v>-13557300</v>
      </c>
      <c r="I3" s="1">
        <v>-13557300</v>
      </c>
      <c r="J3" s="1">
        <v>-13557300</v>
      </c>
      <c r="L3">
        <v>0</v>
      </c>
      <c r="M3" s="2">
        <f>B3/1000000</f>
        <v>-13.5573</v>
      </c>
      <c r="N3" s="2">
        <f>C3/1000000</f>
        <v>-13.5573</v>
      </c>
      <c r="O3" s="2">
        <f>D3/1000000</f>
        <v>-13.5573</v>
      </c>
      <c r="P3" s="2">
        <f>E3/1000000</f>
        <v>-13.5573</v>
      </c>
      <c r="Q3" s="2"/>
      <c r="R3" s="2">
        <f>G3/1000000</f>
        <v>-13.5573</v>
      </c>
      <c r="S3" s="2">
        <f>H3/1000000</f>
        <v>-13.5573</v>
      </c>
      <c r="T3" s="2">
        <f>I3/1000000</f>
        <v>-13.5573</v>
      </c>
      <c r="U3" s="2">
        <f>J3/1000000</f>
        <v>-13.5573</v>
      </c>
      <c r="W3" s="3">
        <f>M3</f>
        <v>-13.5573</v>
      </c>
      <c r="X3" s="3">
        <f>N3</f>
        <v>-13.5573</v>
      </c>
      <c r="Y3" s="3">
        <f>O3</f>
        <v>-13.5573</v>
      </c>
      <c r="Z3" s="3">
        <f>P3</f>
        <v>-13.5573</v>
      </c>
    </row>
    <row r="4" spans="1:26" x14ac:dyDescent="0.35">
      <c r="A4">
        <v>1</v>
      </c>
      <c r="B4" s="1">
        <v>9961670</v>
      </c>
      <c r="C4" s="1">
        <v>9961670</v>
      </c>
      <c r="D4" s="1">
        <v>9961670</v>
      </c>
      <c r="E4" s="1">
        <v>9961670</v>
      </c>
      <c r="G4" s="1">
        <v>-4423200</v>
      </c>
      <c r="H4" s="1">
        <v>-4423200</v>
      </c>
      <c r="I4" s="1">
        <v>-4423200</v>
      </c>
      <c r="J4" s="1">
        <v>-4423200</v>
      </c>
      <c r="L4">
        <v>1</v>
      </c>
      <c r="M4" s="2">
        <f t="shared" ref="M4:P28" si="0">B4/1000000</f>
        <v>9.9616699999999998</v>
      </c>
      <c r="N4" s="2">
        <f t="shared" si="0"/>
        <v>9.9616699999999998</v>
      </c>
      <c r="O4" s="2">
        <f t="shared" si="0"/>
        <v>9.9616699999999998</v>
      </c>
      <c r="P4" s="2">
        <f t="shared" si="0"/>
        <v>9.9616699999999998</v>
      </c>
      <c r="Q4" s="2"/>
      <c r="R4" s="2">
        <f t="shared" ref="R4:U28" si="1">G4/1000000</f>
        <v>-4.4231999999999996</v>
      </c>
      <c r="S4" s="2">
        <f t="shared" si="1"/>
        <v>-4.4231999999999996</v>
      </c>
      <c r="T4" s="2">
        <f t="shared" si="1"/>
        <v>-4.4231999999999996</v>
      </c>
      <c r="U4" s="2">
        <f t="shared" si="1"/>
        <v>-4.4231999999999996</v>
      </c>
      <c r="W4" s="3">
        <f>W3+M4</f>
        <v>-3.5956299999999999</v>
      </c>
      <c r="X4" s="3">
        <f>X3+N4</f>
        <v>-3.5956299999999999</v>
      </c>
      <c r="Y4" s="3">
        <f>Y3+O4</f>
        <v>-3.5956299999999999</v>
      </c>
      <c r="Z4" s="3">
        <f>Z3+P4</f>
        <v>-3.5956299999999999</v>
      </c>
    </row>
    <row r="5" spans="1:26" x14ac:dyDescent="0.35">
      <c r="A5">
        <v>2</v>
      </c>
      <c r="B5" s="1">
        <v>2363110</v>
      </c>
      <c r="C5" s="1">
        <v>2363110</v>
      </c>
      <c r="D5" s="1">
        <v>2363110</v>
      </c>
      <c r="E5" s="1">
        <v>2363110</v>
      </c>
      <c r="G5" s="1">
        <v>-2436410</v>
      </c>
      <c r="H5" s="1">
        <v>-2436410</v>
      </c>
      <c r="I5" s="1">
        <v>-2436410</v>
      </c>
      <c r="J5" s="1">
        <v>-2436410</v>
      </c>
      <c r="L5">
        <v>2</v>
      </c>
      <c r="M5" s="2">
        <f t="shared" si="0"/>
        <v>2.3631099999999998</v>
      </c>
      <c r="N5" s="2">
        <f t="shared" si="0"/>
        <v>2.3631099999999998</v>
      </c>
      <c r="O5" s="2">
        <f t="shared" si="0"/>
        <v>2.3631099999999998</v>
      </c>
      <c r="P5" s="2">
        <f t="shared" si="0"/>
        <v>2.3631099999999998</v>
      </c>
      <c r="Q5" s="2"/>
      <c r="R5" s="2">
        <f t="shared" si="1"/>
        <v>-2.43641</v>
      </c>
      <c r="S5" s="2">
        <f t="shared" si="1"/>
        <v>-2.43641</v>
      </c>
      <c r="T5" s="2">
        <f t="shared" si="1"/>
        <v>-2.43641</v>
      </c>
      <c r="U5" s="2">
        <f t="shared" si="1"/>
        <v>-2.43641</v>
      </c>
      <c r="W5" s="3">
        <f t="shared" ref="W5:Z20" si="2">W4+M5</f>
        <v>-1.2325200000000001</v>
      </c>
      <c r="X5" s="3">
        <f t="shared" si="2"/>
        <v>-1.2325200000000001</v>
      </c>
      <c r="Y5" s="3">
        <f t="shared" si="2"/>
        <v>-1.2325200000000001</v>
      </c>
      <c r="Z5" s="3">
        <f t="shared" si="2"/>
        <v>-1.2325200000000001</v>
      </c>
    </row>
    <row r="6" spans="1:26" x14ac:dyDescent="0.35">
      <c r="A6">
        <v>3</v>
      </c>
      <c r="B6" s="1">
        <v>1527440</v>
      </c>
      <c r="C6" s="1">
        <v>1527440</v>
      </c>
      <c r="D6" s="1">
        <v>1527440</v>
      </c>
      <c r="E6" s="1">
        <v>1527440</v>
      </c>
      <c r="G6" s="1">
        <v>-1258890</v>
      </c>
      <c r="H6" s="1">
        <v>-1258890</v>
      </c>
      <c r="I6" s="1">
        <v>-1258890</v>
      </c>
      <c r="J6" s="1">
        <v>-1258890</v>
      </c>
      <c r="L6">
        <v>3</v>
      </c>
      <c r="M6" s="2">
        <f t="shared" si="0"/>
        <v>1.5274399999999999</v>
      </c>
      <c r="N6" s="2">
        <f t="shared" si="0"/>
        <v>1.5274399999999999</v>
      </c>
      <c r="O6" s="2">
        <f t="shared" si="0"/>
        <v>1.5274399999999999</v>
      </c>
      <c r="P6" s="2">
        <f t="shared" si="0"/>
        <v>1.5274399999999999</v>
      </c>
      <c r="Q6" s="2"/>
      <c r="R6" s="2">
        <f t="shared" si="1"/>
        <v>-1.2588900000000001</v>
      </c>
      <c r="S6" s="2">
        <f t="shared" si="1"/>
        <v>-1.2588900000000001</v>
      </c>
      <c r="T6" s="2">
        <f t="shared" si="1"/>
        <v>-1.2588900000000001</v>
      </c>
      <c r="U6" s="2">
        <f t="shared" si="1"/>
        <v>-1.2588900000000001</v>
      </c>
      <c r="W6" s="3">
        <f t="shared" si="2"/>
        <v>0.29491999999999985</v>
      </c>
      <c r="X6" s="3">
        <f t="shared" si="2"/>
        <v>0.29491999999999985</v>
      </c>
      <c r="Y6" s="3">
        <f t="shared" si="2"/>
        <v>0.29491999999999985</v>
      </c>
      <c r="Z6" s="3">
        <f t="shared" si="2"/>
        <v>0.29491999999999985</v>
      </c>
    </row>
    <row r="7" spans="1:26" x14ac:dyDescent="0.35">
      <c r="A7">
        <v>4</v>
      </c>
      <c r="B7" s="1">
        <v>994514</v>
      </c>
      <c r="C7">
        <v>994514</v>
      </c>
      <c r="D7" s="1">
        <v>994514</v>
      </c>
      <c r="E7" s="1">
        <v>994514</v>
      </c>
      <c r="G7" s="1">
        <v>-555898</v>
      </c>
      <c r="H7" s="1">
        <v>-555898</v>
      </c>
      <c r="I7" s="1">
        <v>-555898</v>
      </c>
      <c r="J7" s="1">
        <v>-555898</v>
      </c>
      <c r="L7">
        <v>4</v>
      </c>
      <c r="M7" s="2">
        <f t="shared" si="0"/>
        <v>0.99451400000000001</v>
      </c>
      <c r="N7" s="2">
        <f t="shared" si="0"/>
        <v>0.99451400000000001</v>
      </c>
      <c r="O7" s="2">
        <f t="shared" si="0"/>
        <v>0.99451400000000001</v>
      </c>
      <c r="P7" s="2">
        <f t="shared" si="0"/>
        <v>0.99451400000000001</v>
      </c>
      <c r="Q7" s="2"/>
      <c r="R7" s="2">
        <f t="shared" si="1"/>
        <v>-0.555898</v>
      </c>
      <c r="S7" s="2">
        <f t="shared" si="1"/>
        <v>-0.555898</v>
      </c>
      <c r="T7" s="2">
        <f t="shared" si="1"/>
        <v>-0.555898</v>
      </c>
      <c r="U7" s="2">
        <f t="shared" si="1"/>
        <v>-0.555898</v>
      </c>
      <c r="W7" s="3">
        <f t="shared" si="2"/>
        <v>1.289434</v>
      </c>
      <c r="X7" s="3">
        <f t="shared" si="2"/>
        <v>1.289434</v>
      </c>
      <c r="Y7" s="3">
        <f t="shared" si="2"/>
        <v>1.289434</v>
      </c>
      <c r="Z7" s="3">
        <f t="shared" si="2"/>
        <v>1.289434</v>
      </c>
    </row>
    <row r="8" spans="1:26" x14ac:dyDescent="0.35">
      <c r="A8">
        <v>5</v>
      </c>
      <c r="B8" s="1">
        <v>940185</v>
      </c>
      <c r="C8">
        <v>940185</v>
      </c>
      <c r="D8" s="1">
        <v>940185</v>
      </c>
      <c r="E8" s="1">
        <v>940185</v>
      </c>
      <c r="G8" s="1">
        <v>53478.7</v>
      </c>
      <c r="H8">
        <v>53478.7</v>
      </c>
      <c r="I8" s="1">
        <v>53478.7</v>
      </c>
      <c r="J8" s="1">
        <v>53478.7</v>
      </c>
      <c r="L8">
        <v>5</v>
      </c>
      <c r="M8" s="2">
        <f t="shared" si="0"/>
        <v>0.94018500000000005</v>
      </c>
      <c r="N8" s="2">
        <f t="shared" si="0"/>
        <v>0.94018500000000005</v>
      </c>
      <c r="O8" s="2">
        <f t="shared" si="0"/>
        <v>0.94018500000000005</v>
      </c>
      <c r="P8" s="2">
        <f t="shared" si="0"/>
        <v>0.94018500000000005</v>
      </c>
      <c r="Q8" s="2"/>
      <c r="R8" s="2">
        <f t="shared" si="1"/>
        <v>5.3478699999999997E-2</v>
      </c>
      <c r="S8" s="2">
        <f t="shared" si="1"/>
        <v>5.3478699999999997E-2</v>
      </c>
      <c r="T8" s="2">
        <f t="shared" si="1"/>
        <v>5.3478699999999997E-2</v>
      </c>
      <c r="U8" s="2">
        <f t="shared" si="1"/>
        <v>5.3478699999999997E-2</v>
      </c>
      <c r="W8" s="3">
        <f t="shared" si="2"/>
        <v>2.229619</v>
      </c>
      <c r="X8" s="3">
        <f t="shared" si="2"/>
        <v>2.229619</v>
      </c>
      <c r="Y8" s="3">
        <f t="shared" si="2"/>
        <v>2.229619</v>
      </c>
      <c r="Z8" s="3">
        <f t="shared" si="2"/>
        <v>2.229619</v>
      </c>
    </row>
    <row r="9" spans="1:26" x14ac:dyDescent="0.35">
      <c r="A9">
        <v>6</v>
      </c>
      <c r="B9" s="1">
        <v>518517</v>
      </c>
      <c r="C9">
        <v>518517</v>
      </c>
      <c r="D9" s="1">
        <v>518517</v>
      </c>
      <c r="E9" s="1">
        <v>518517</v>
      </c>
      <c r="G9" s="1">
        <v>361634</v>
      </c>
      <c r="H9">
        <v>361634</v>
      </c>
      <c r="I9" s="1">
        <v>361634</v>
      </c>
      <c r="J9" s="1">
        <v>361634</v>
      </c>
      <c r="L9">
        <v>6</v>
      </c>
      <c r="M9" s="2">
        <f t="shared" si="0"/>
        <v>0.51851700000000001</v>
      </c>
      <c r="N9" s="2">
        <f t="shared" si="0"/>
        <v>0.51851700000000001</v>
      </c>
      <c r="O9" s="2">
        <f t="shared" si="0"/>
        <v>0.51851700000000001</v>
      </c>
      <c r="P9" s="2">
        <f t="shared" si="0"/>
        <v>0.51851700000000001</v>
      </c>
      <c r="Q9" s="2"/>
      <c r="R9" s="2">
        <f t="shared" si="1"/>
        <v>0.36163400000000001</v>
      </c>
      <c r="S9" s="2">
        <f t="shared" si="1"/>
        <v>0.36163400000000001</v>
      </c>
      <c r="T9" s="2">
        <f t="shared" si="1"/>
        <v>0.36163400000000001</v>
      </c>
      <c r="U9" s="2">
        <f t="shared" si="1"/>
        <v>0.36163400000000001</v>
      </c>
      <c r="W9" s="3">
        <f t="shared" si="2"/>
        <v>2.7481360000000001</v>
      </c>
      <c r="X9" s="3">
        <f t="shared" si="2"/>
        <v>2.7481360000000001</v>
      </c>
      <c r="Y9" s="3">
        <f t="shared" si="2"/>
        <v>2.7481360000000001</v>
      </c>
      <c r="Z9" s="3">
        <f t="shared" si="2"/>
        <v>2.7481360000000001</v>
      </c>
    </row>
    <row r="10" spans="1:26" x14ac:dyDescent="0.35">
      <c r="A10">
        <v>7</v>
      </c>
      <c r="B10">
        <v>25097.8</v>
      </c>
      <c r="C10" s="1">
        <v>25097.8</v>
      </c>
      <c r="D10">
        <v>25097.8</v>
      </c>
      <c r="E10" s="1">
        <v>25097.8</v>
      </c>
      <c r="G10" s="1">
        <v>375311</v>
      </c>
      <c r="H10">
        <v>375311</v>
      </c>
      <c r="I10" s="1">
        <v>375311</v>
      </c>
      <c r="J10">
        <v>375311</v>
      </c>
      <c r="L10">
        <v>7</v>
      </c>
      <c r="M10" s="2">
        <f t="shared" si="0"/>
        <v>2.50978E-2</v>
      </c>
      <c r="N10" s="2">
        <f t="shared" si="0"/>
        <v>2.50978E-2</v>
      </c>
      <c r="O10" s="2">
        <f t="shared" si="0"/>
        <v>2.50978E-2</v>
      </c>
      <c r="P10" s="2">
        <f t="shared" si="0"/>
        <v>2.50978E-2</v>
      </c>
      <c r="Q10" s="2"/>
      <c r="R10" s="2">
        <f t="shared" si="1"/>
        <v>0.37531100000000001</v>
      </c>
      <c r="S10" s="2">
        <f t="shared" si="1"/>
        <v>0.37531100000000001</v>
      </c>
      <c r="T10" s="2">
        <f t="shared" si="1"/>
        <v>0.37531100000000001</v>
      </c>
      <c r="U10" s="2">
        <f t="shared" si="1"/>
        <v>0.37531100000000001</v>
      </c>
      <c r="W10" s="3">
        <f t="shared" si="2"/>
        <v>2.7732338000000003</v>
      </c>
      <c r="X10" s="3">
        <f t="shared" si="2"/>
        <v>2.7732338000000003</v>
      </c>
      <c r="Y10" s="3">
        <f t="shared" si="2"/>
        <v>2.7732338000000003</v>
      </c>
      <c r="Z10" s="3">
        <f t="shared" si="2"/>
        <v>2.7732338000000003</v>
      </c>
    </row>
    <row r="11" spans="1:26" x14ac:dyDescent="0.35">
      <c r="A11">
        <v>8</v>
      </c>
      <c r="B11">
        <v>-621712</v>
      </c>
      <c r="C11" s="1">
        <v>-621712</v>
      </c>
      <c r="D11">
        <v>-621712</v>
      </c>
      <c r="E11" s="1">
        <v>-621712</v>
      </c>
      <c r="G11" s="1">
        <v>64664.9</v>
      </c>
      <c r="H11" s="1">
        <v>64664.9</v>
      </c>
      <c r="I11" s="1">
        <v>64664.9</v>
      </c>
      <c r="J11" s="1">
        <v>64664.9</v>
      </c>
      <c r="L11">
        <v>8</v>
      </c>
      <c r="M11" s="2">
        <f t="shared" si="0"/>
        <v>-0.62171200000000004</v>
      </c>
      <c r="N11" s="2">
        <f t="shared" si="0"/>
        <v>-0.62171200000000004</v>
      </c>
      <c r="O11" s="2">
        <f t="shared" si="0"/>
        <v>-0.62171200000000004</v>
      </c>
      <c r="P11" s="2">
        <f t="shared" si="0"/>
        <v>-0.62171200000000004</v>
      </c>
      <c r="Q11" s="2"/>
      <c r="R11" s="2">
        <f t="shared" si="1"/>
        <v>6.4664899999999997E-2</v>
      </c>
      <c r="S11" s="2">
        <f t="shared" si="1"/>
        <v>6.4664899999999997E-2</v>
      </c>
      <c r="T11" s="2">
        <f t="shared" si="1"/>
        <v>6.4664899999999997E-2</v>
      </c>
      <c r="U11" s="2">
        <f t="shared" si="1"/>
        <v>6.4664899999999997E-2</v>
      </c>
      <c r="W11" s="3">
        <f t="shared" si="2"/>
        <v>2.1515218000000003</v>
      </c>
      <c r="X11" s="3">
        <f t="shared" si="2"/>
        <v>2.1515218000000003</v>
      </c>
      <c r="Y11" s="3">
        <f t="shared" si="2"/>
        <v>2.1515218000000003</v>
      </c>
      <c r="Z11" s="3">
        <f t="shared" si="2"/>
        <v>2.1515218000000003</v>
      </c>
    </row>
    <row r="12" spans="1:26" x14ac:dyDescent="0.35">
      <c r="A12">
        <v>9</v>
      </c>
      <c r="B12" s="1">
        <v>-946058</v>
      </c>
      <c r="C12" s="1">
        <v>-946058</v>
      </c>
      <c r="D12">
        <v>-946058</v>
      </c>
      <c r="E12" s="1">
        <v>-946058</v>
      </c>
      <c r="G12" s="1">
        <v>-368774</v>
      </c>
      <c r="H12" s="1">
        <v>-368774</v>
      </c>
      <c r="I12" s="1">
        <v>-368774</v>
      </c>
      <c r="J12" s="1">
        <v>-368774</v>
      </c>
      <c r="L12">
        <v>9</v>
      </c>
      <c r="M12" s="2">
        <f t="shared" si="0"/>
        <v>-0.94605799999999995</v>
      </c>
      <c r="N12" s="2">
        <f t="shared" si="0"/>
        <v>-0.94605799999999995</v>
      </c>
      <c r="O12" s="2">
        <f t="shared" si="0"/>
        <v>-0.94605799999999995</v>
      </c>
      <c r="P12" s="2">
        <f t="shared" si="0"/>
        <v>-0.94605799999999995</v>
      </c>
      <c r="Q12" s="2"/>
      <c r="R12" s="2">
        <f t="shared" si="1"/>
        <v>-0.36877399999999999</v>
      </c>
      <c r="S12" s="2">
        <f t="shared" si="1"/>
        <v>-0.36877399999999999</v>
      </c>
      <c r="T12" s="2">
        <f t="shared" si="1"/>
        <v>-0.36877399999999999</v>
      </c>
      <c r="U12" s="2">
        <f t="shared" si="1"/>
        <v>-0.36877399999999999</v>
      </c>
      <c r="W12" s="3">
        <f t="shared" si="2"/>
        <v>1.2054638000000004</v>
      </c>
      <c r="X12" s="3">
        <f t="shared" si="2"/>
        <v>1.2054638000000004</v>
      </c>
      <c r="Y12" s="3">
        <f t="shared" si="2"/>
        <v>1.2054638000000004</v>
      </c>
      <c r="Z12" s="3">
        <f t="shared" si="2"/>
        <v>1.2054638000000004</v>
      </c>
    </row>
    <row r="13" spans="1:26" x14ac:dyDescent="0.35">
      <c r="A13">
        <v>10</v>
      </c>
      <c r="B13" s="1">
        <v>-1127520</v>
      </c>
      <c r="C13" s="1">
        <v>-1127520</v>
      </c>
      <c r="D13" s="1">
        <v>-1127520</v>
      </c>
      <c r="E13" s="1">
        <v>-1127520</v>
      </c>
      <c r="G13" s="1">
        <v>-842439</v>
      </c>
      <c r="H13" s="1">
        <v>-842439</v>
      </c>
      <c r="I13" s="1">
        <v>-842439</v>
      </c>
      <c r="J13" s="1">
        <v>-842439</v>
      </c>
      <c r="L13">
        <v>10</v>
      </c>
      <c r="M13" s="2">
        <f t="shared" si="0"/>
        <v>-1.1275200000000001</v>
      </c>
      <c r="N13" s="2">
        <f t="shared" si="0"/>
        <v>-1.1275200000000001</v>
      </c>
      <c r="O13" s="2">
        <f t="shared" si="0"/>
        <v>-1.1275200000000001</v>
      </c>
      <c r="P13" s="2">
        <f t="shared" si="0"/>
        <v>-1.1275200000000001</v>
      </c>
      <c r="Q13" s="2"/>
      <c r="R13" s="2">
        <f t="shared" si="1"/>
        <v>-0.84243900000000005</v>
      </c>
      <c r="S13" s="2">
        <f t="shared" si="1"/>
        <v>-0.84243900000000005</v>
      </c>
      <c r="T13" s="2">
        <f t="shared" si="1"/>
        <v>-0.84243900000000005</v>
      </c>
      <c r="U13" s="2">
        <f t="shared" si="1"/>
        <v>-0.84243900000000005</v>
      </c>
      <c r="W13" s="3">
        <f t="shared" si="2"/>
        <v>7.7943800000000341E-2</v>
      </c>
      <c r="X13" s="3">
        <f t="shared" si="2"/>
        <v>7.7943800000000341E-2</v>
      </c>
      <c r="Y13" s="3">
        <f t="shared" si="2"/>
        <v>7.7943800000000341E-2</v>
      </c>
      <c r="Z13" s="3">
        <f t="shared" si="2"/>
        <v>7.7943800000000341E-2</v>
      </c>
    </row>
    <row r="14" spans="1:26" x14ac:dyDescent="0.35">
      <c r="A14">
        <v>11</v>
      </c>
      <c r="B14" s="1">
        <v>-1315260</v>
      </c>
      <c r="C14" s="1">
        <v>-3749660</v>
      </c>
      <c r="D14" s="1">
        <v>-4411110</v>
      </c>
      <c r="E14" s="1">
        <v>-23100600</v>
      </c>
      <c r="G14" s="1">
        <v>-1349070</v>
      </c>
      <c r="H14" s="1">
        <v>-2286780</v>
      </c>
      <c r="I14" s="1">
        <v>-2541570</v>
      </c>
      <c r="J14" s="1">
        <v>-9740650</v>
      </c>
      <c r="L14">
        <v>11</v>
      </c>
      <c r="M14" s="2">
        <f t="shared" si="0"/>
        <v>-1.3152600000000001</v>
      </c>
      <c r="N14" s="2">
        <f t="shared" si="0"/>
        <v>-3.74966</v>
      </c>
      <c r="O14" s="2">
        <f t="shared" si="0"/>
        <v>-4.4111099999999999</v>
      </c>
      <c r="P14" s="2">
        <f t="shared" si="0"/>
        <v>-23.1006</v>
      </c>
      <c r="Q14" s="2"/>
      <c r="R14" s="2">
        <f t="shared" si="1"/>
        <v>-1.34907</v>
      </c>
      <c r="S14" s="2">
        <f t="shared" si="1"/>
        <v>-2.2867799999999998</v>
      </c>
      <c r="T14" s="2">
        <f t="shared" si="1"/>
        <v>-2.5415700000000001</v>
      </c>
      <c r="U14" s="2">
        <f t="shared" si="1"/>
        <v>-9.7406500000000005</v>
      </c>
      <c r="W14" s="3">
        <f t="shared" si="2"/>
        <v>-1.2373161999999998</v>
      </c>
      <c r="X14" s="3">
        <f t="shared" si="2"/>
        <v>-3.6717161999999997</v>
      </c>
      <c r="Y14" s="3">
        <f t="shared" si="2"/>
        <v>-4.3331661999999991</v>
      </c>
      <c r="Z14" s="3">
        <f t="shared" si="2"/>
        <v>-23.0226562</v>
      </c>
    </row>
    <row r="15" spans="1:26" x14ac:dyDescent="0.35">
      <c r="A15">
        <v>12</v>
      </c>
      <c r="B15" s="1">
        <v>-213974</v>
      </c>
      <c r="C15" s="1">
        <v>-1325380</v>
      </c>
      <c r="D15" s="1">
        <v>-1134190</v>
      </c>
      <c r="E15" s="1">
        <v>-10159900</v>
      </c>
      <c r="G15" s="1">
        <v>-1424640</v>
      </c>
      <c r="H15" s="1">
        <v>-2754900</v>
      </c>
      <c r="I15" s="1">
        <v>-2942160</v>
      </c>
      <c r="J15" s="1">
        <v>-13329100</v>
      </c>
      <c r="L15">
        <v>12</v>
      </c>
      <c r="M15" s="2">
        <f t="shared" si="0"/>
        <v>-0.213974</v>
      </c>
      <c r="N15" s="2">
        <f t="shared" si="0"/>
        <v>-1.32538</v>
      </c>
      <c r="O15" s="2">
        <f t="shared" si="0"/>
        <v>-1.13419</v>
      </c>
      <c r="P15" s="2">
        <f t="shared" si="0"/>
        <v>-10.1599</v>
      </c>
      <c r="Q15" s="2"/>
      <c r="R15" s="2">
        <f t="shared" si="1"/>
        <v>-1.4246399999999999</v>
      </c>
      <c r="S15" s="2">
        <f t="shared" si="1"/>
        <v>-2.7549000000000001</v>
      </c>
      <c r="T15" s="5">
        <f t="shared" si="1"/>
        <v>-2.9421599999999999</v>
      </c>
      <c r="U15" s="2">
        <f t="shared" si="1"/>
        <v>-13.3291</v>
      </c>
      <c r="W15" s="3">
        <f t="shared" si="2"/>
        <v>-1.4512901999999999</v>
      </c>
      <c r="X15" s="3">
        <f t="shared" si="2"/>
        <v>-4.9970961999999997</v>
      </c>
      <c r="Y15" s="3">
        <f t="shared" si="2"/>
        <v>-5.4673561999999993</v>
      </c>
      <c r="Z15" s="4">
        <f>Z14+P15</f>
        <v>-33.182556200000001</v>
      </c>
    </row>
    <row r="16" spans="1:26" x14ac:dyDescent="0.35">
      <c r="A16">
        <v>13</v>
      </c>
      <c r="B16" s="1">
        <v>940264</v>
      </c>
      <c r="C16" s="1">
        <v>1636070</v>
      </c>
      <c r="E16" s="1">
        <v>2742620</v>
      </c>
      <c r="G16" s="1">
        <v>-1120130</v>
      </c>
      <c r="H16" s="1">
        <v>-2225050</v>
      </c>
      <c r="J16" s="1">
        <v>-12440900</v>
      </c>
      <c r="L16">
        <v>13</v>
      </c>
      <c r="M16" s="2">
        <f t="shared" si="0"/>
        <v>0.94026399999999999</v>
      </c>
      <c r="N16" s="2">
        <f t="shared" si="0"/>
        <v>1.6360699999999999</v>
      </c>
      <c r="O16" s="2">
        <f t="shared" si="0"/>
        <v>0</v>
      </c>
      <c r="P16" s="2">
        <f t="shared" si="0"/>
        <v>2.7426200000000001</v>
      </c>
      <c r="Q16" s="2"/>
      <c r="R16" s="2">
        <f t="shared" si="1"/>
        <v>-1.1201300000000001</v>
      </c>
      <c r="S16" s="2">
        <f t="shared" si="1"/>
        <v>-2.22505</v>
      </c>
      <c r="T16" s="2">
        <f t="shared" si="1"/>
        <v>0</v>
      </c>
      <c r="U16" s="2">
        <f t="shared" si="1"/>
        <v>-12.440899999999999</v>
      </c>
      <c r="W16" s="3">
        <f t="shared" si="2"/>
        <v>-0.51102619999999987</v>
      </c>
      <c r="X16" s="3">
        <f t="shared" si="2"/>
        <v>-3.3610261999999995</v>
      </c>
      <c r="Y16" s="3">
        <f t="shared" si="2"/>
        <v>-5.4673561999999993</v>
      </c>
      <c r="Z16" s="3">
        <f t="shared" si="2"/>
        <v>-30.439936200000002</v>
      </c>
    </row>
    <row r="17" spans="1:26" x14ac:dyDescent="0.35">
      <c r="A17">
        <v>14</v>
      </c>
      <c r="B17" s="1">
        <v>864571</v>
      </c>
      <c r="C17" s="1">
        <v>1567310</v>
      </c>
      <c r="E17" s="1">
        <v>2734160</v>
      </c>
      <c r="G17" s="1">
        <v>-863400</v>
      </c>
      <c r="H17" s="1">
        <v>-1759640</v>
      </c>
      <c r="J17" s="1">
        <v>-11629000</v>
      </c>
      <c r="L17">
        <v>14</v>
      </c>
      <c r="M17" s="2">
        <f t="shared" si="0"/>
        <v>0.86457099999999998</v>
      </c>
      <c r="N17" s="2">
        <f t="shared" si="0"/>
        <v>1.56731</v>
      </c>
      <c r="O17" s="2">
        <f t="shared" si="0"/>
        <v>0</v>
      </c>
      <c r="P17" s="2">
        <f t="shared" si="0"/>
        <v>2.7341600000000001</v>
      </c>
      <c r="Q17" s="2"/>
      <c r="R17" s="2">
        <f t="shared" si="1"/>
        <v>-0.86339999999999995</v>
      </c>
      <c r="S17" s="2">
        <f t="shared" si="1"/>
        <v>-1.7596400000000001</v>
      </c>
      <c r="T17" s="2">
        <f t="shared" si="1"/>
        <v>0</v>
      </c>
      <c r="U17" s="2">
        <f t="shared" si="1"/>
        <v>-11.629</v>
      </c>
      <c r="W17" s="3">
        <f t="shared" si="2"/>
        <v>0.3535448000000001</v>
      </c>
      <c r="X17" s="3">
        <f t="shared" si="2"/>
        <v>-1.7937161999999995</v>
      </c>
      <c r="Y17" s="3">
        <f t="shared" si="2"/>
        <v>-5.4673561999999993</v>
      </c>
      <c r="Z17" s="3">
        <f t="shared" si="2"/>
        <v>-27.705776200000003</v>
      </c>
    </row>
    <row r="18" spans="1:26" x14ac:dyDescent="0.35">
      <c r="A18">
        <v>15</v>
      </c>
      <c r="B18" s="1">
        <v>787178</v>
      </c>
      <c r="C18" s="1">
        <v>1496910</v>
      </c>
      <c r="E18" s="1">
        <v>2725150</v>
      </c>
      <c r="G18" s="1">
        <v>-649066</v>
      </c>
      <c r="H18" s="1">
        <v>-1352060</v>
      </c>
      <c r="J18" s="1">
        <v>-10887000</v>
      </c>
      <c r="L18">
        <v>15</v>
      </c>
      <c r="M18" s="2">
        <f t="shared" si="0"/>
        <v>0.78717800000000004</v>
      </c>
      <c r="N18" s="2">
        <f t="shared" si="0"/>
        <v>1.49691</v>
      </c>
      <c r="O18" s="2">
        <f t="shared" si="0"/>
        <v>0</v>
      </c>
      <c r="P18" s="2">
        <f t="shared" si="0"/>
        <v>2.7251500000000002</v>
      </c>
      <c r="Q18" s="2"/>
      <c r="R18" s="2">
        <f t="shared" si="1"/>
        <v>-0.64906600000000003</v>
      </c>
      <c r="S18" s="2">
        <f t="shared" si="1"/>
        <v>-1.35206</v>
      </c>
      <c r="T18" s="2">
        <f t="shared" si="1"/>
        <v>0</v>
      </c>
      <c r="U18" s="2">
        <f t="shared" si="1"/>
        <v>-10.887</v>
      </c>
      <c r="W18" s="3">
        <f t="shared" si="2"/>
        <v>1.1407228000000003</v>
      </c>
      <c r="X18" s="3">
        <f t="shared" si="2"/>
        <v>-0.29680619999999958</v>
      </c>
      <c r="Y18" s="3">
        <f t="shared" si="2"/>
        <v>-5.4673561999999993</v>
      </c>
      <c r="Z18" s="3">
        <f t="shared" si="2"/>
        <v>-24.980626200000003</v>
      </c>
    </row>
    <row r="19" spans="1:26" x14ac:dyDescent="0.35">
      <c r="A19">
        <v>16</v>
      </c>
      <c r="B19" s="1">
        <v>697474</v>
      </c>
      <c r="C19" s="1">
        <v>1414270</v>
      </c>
      <c r="E19" s="1">
        <v>2704980</v>
      </c>
      <c r="G19" s="1">
        <v>-474933</v>
      </c>
      <c r="H19" s="1">
        <v>-998973</v>
      </c>
      <c r="J19" s="1">
        <v>-10211600</v>
      </c>
      <c r="L19">
        <v>16</v>
      </c>
      <c r="M19" s="2">
        <f t="shared" si="0"/>
        <v>0.69747400000000004</v>
      </c>
      <c r="N19" s="2">
        <f t="shared" si="0"/>
        <v>1.4142699999999999</v>
      </c>
      <c r="O19" s="2">
        <f t="shared" si="0"/>
        <v>0</v>
      </c>
      <c r="P19" s="2">
        <f t="shared" si="0"/>
        <v>2.7049799999999999</v>
      </c>
      <c r="Q19" s="2"/>
      <c r="R19" s="2">
        <f t="shared" si="1"/>
        <v>-0.47493299999999999</v>
      </c>
      <c r="S19" s="2">
        <f t="shared" si="1"/>
        <v>-0.998973</v>
      </c>
      <c r="T19" s="2">
        <f t="shared" si="1"/>
        <v>0</v>
      </c>
      <c r="U19" s="2">
        <f t="shared" si="1"/>
        <v>-10.211600000000001</v>
      </c>
      <c r="W19" s="3">
        <f t="shared" si="2"/>
        <v>1.8381968000000004</v>
      </c>
      <c r="X19" s="3">
        <f t="shared" si="2"/>
        <v>1.1174638000000003</v>
      </c>
      <c r="Y19" s="3">
        <f t="shared" si="2"/>
        <v>-5.4673561999999993</v>
      </c>
      <c r="Z19" s="3">
        <f t="shared" si="2"/>
        <v>-22.275646200000004</v>
      </c>
    </row>
    <row r="20" spans="1:26" x14ac:dyDescent="0.35">
      <c r="A20">
        <v>17</v>
      </c>
      <c r="B20" s="1">
        <v>605972</v>
      </c>
      <c r="C20" s="1">
        <v>1329900</v>
      </c>
      <c r="E20" s="1">
        <v>2684220</v>
      </c>
      <c r="G20" s="1">
        <v>-336213</v>
      </c>
      <c r="H20" s="1">
        <v>-694531</v>
      </c>
      <c r="J20" s="1">
        <v>-9597150</v>
      </c>
      <c r="L20">
        <v>17</v>
      </c>
      <c r="M20" s="2">
        <f t="shared" si="0"/>
        <v>0.60597199999999996</v>
      </c>
      <c r="N20" s="2">
        <f t="shared" si="0"/>
        <v>1.3299000000000001</v>
      </c>
      <c r="O20" s="2">
        <f t="shared" si="0"/>
        <v>0</v>
      </c>
      <c r="P20" s="2">
        <f t="shared" si="0"/>
        <v>2.6842199999999998</v>
      </c>
      <c r="Q20" s="2"/>
      <c r="R20" s="2">
        <f t="shared" si="1"/>
        <v>-0.33621299999999998</v>
      </c>
      <c r="S20" s="2">
        <f t="shared" si="1"/>
        <v>-0.69453100000000001</v>
      </c>
      <c r="T20" s="2">
        <f t="shared" si="1"/>
        <v>0</v>
      </c>
      <c r="U20" s="2">
        <f t="shared" si="1"/>
        <v>-9.5971499999999992</v>
      </c>
      <c r="W20" s="3">
        <f t="shared" si="2"/>
        <v>2.4441688000000004</v>
      </c>
      <c r="X20" s="3">
        <f t="shared" si="2"/>
        <v>2.4473638000000006</v>
      </c>
      <c r="Y20" s="3">
        <f t="shared" si="2"/>
        <v>-5.4673561999999993</v>
      </c>
      <c r="Z20" s="3">
        <f t="shared" si="2"/>
        <v>-19.591426200000004</v>
      </c>
    </row>
    <row r="21" spans="1:26" x14ac:dyDescent="0.35">
      <c r="A21">
        <v>18</v>
      </c>
      <c r="B21" s="1">
        <v>523056</v>
      </c>
      <c r="C21" s="1">
        <v>1254190</v>
      </c>
      <c r="E21" s="1">
        <v>2673250</v>
      </c>
      <c r="G21" s="1">
        <v>-226422</v>
      </c>
      <c r="H21" s="1">
        <v>-431271</v>
      </c>
      <c r="J21" s="1">
        <v>-9036030</v>
      </c>
      <c r="L21">
        <v>18</v>
      </c>
      <c r="M21" s="2">
        <f t="shared" si="0"/>
        <v>0.52305599999999997</v>
      </c>
      <c r="N21" s="2">
        <f t="shared" si="0"/>
        <v>1.2541899999999999</v>
      </c>
      <c r="O21" s="2">
        <f t="shared" si="0"/>
        <v>0</v>
      </c>
      <c r="P21" s="2">
        <f t="shared" si="0"/>
        <v>2.6732499999999999</v>
      </c>
      <c r="Q21" s="2"/>
      <c r="R21" s="2">
        <f t="shared" si="1"/>
        <v>-0.22642200000000001</v>
      </c>
      <c r="S21" s="2">
        <f t="shared" si="1"/>
        <v>-0.43127100000000002</v>
      </c>
      <c r="T21" s="2">
        <f t="shared" si="1"/>
        <v>0</v>
      </c>
      <c r="U21" s="2">
        <f t="shared" si="1"/>
        <v>-9.0360300000000002</v>
      </c>
      <c r="W21" s="3">
        <f t="shared" ref="W21:Z23" si="3">W20+M21</f>
        <v>2.9672248000000003</v>
      </c>
      <c r="X21" s="3">
        <f t="shared" si="3"/>
        <v>3.7015538000000006</v>
      </c>
      <c r="Y21" s="3">
        <f t="shared" si="3"/>
        <v>-5.4673561999999993</v>
      </c>
      <c r="Z21" s="3">
        <f t="shared" si="3"/>
        <v>-16.918176200000005</v>
      </c>
    </row>
    <row r="22" spans="1:26" x14ac:dyDescent="0.35">
      <c r="A22">
        <v>19</v>
      </c>
      <c r="B22" s="1">
        <v>438248</v>
      </c>
      <c r="C22" s="1">
        <v>1176650</v>
      </c>
      <c r="E22" s="1">
        <v>2661600</v>
      </c>
      <c r="G22" s="1">
        <v>-142074</v>
      </c>
      <c r="H22" s="1">
        <v>-204805</v>
      </c>
      <c r="J22" s="1">
        <v>-8523760</v>
      </c>
      <c r="L22">
        <v>19</v>
      </c>
      <c r="M22" s="2">
        <f t="shared" si="0"/>
        <v>0.43824800000000003</v>
      </c>
      <c r="N22" s="2">
        <f t="shared" si="0"/>
        <v>1.17665</v>
      </c>
      <c r="O22" s="2">
        <f t="shared" si="0"/>
        <v>0</v>
      </c>
      <c r="P22" s="2">
        <f t="shared" si="0"/>
        <v>2.6616</v>
      </c>
      <c r="Q22" s="2"/>
      <c r="R22" s="2">
        <f t="shared" si="1"/>
        <v>-0.14207400000000001</v>
      </c>
      <c r="S22" s="2">
        <f t="shared" si="1"/>
        <v>-0.20480499999999999</v>
      </c>
      <c r="T22" s="2">
        <f t="shared" si="1"/>
        <v>0</v>
      </c>
      <c r="U22" s="2">
        <f t="shared" si="1"/>
        <v>-8.5237599999999993</v>
      </c>
      <c r="W22" s="3">
        <f t="shared" si="3"/>
        <v>3.4054728000000005</v>
      </c>
      <c r="X22" s="3">
        <f t="shared" si="3"/>
        <v>4.8782038000000005</v>
      </c>
      <c r="Y22" s="3">
        <f t="shared" si="3"/>
        <v>-5.4673561999999993</v>
      </c>
      <c r="Z22" s="3">
        <f t="shared" si="3"/>
        <v>-14.256576200000005</v>
      </c>
    </row>
    <row r="23" spans="1:26" x14ac:dyDescent="0.35">
      <c r="A23">
        <v>20</v>
      </c>
      <c r="B23" s="1">
        <v>351512</v>
      </c>
      <c r="C23" s="1">
        <v>1097260</v>
      </c>
      <c r="E23" s="1">
        <v>2649260</v>
      </c>
      <c r="G23" s="1">
        <v>-80039.7</v>
      </c>
      <c r="H23">
        <v>-11162</v>
      </c>
      <c r="J23" s="1">
        <v>-8056220</v>
      </c>
      <c r="L23">
        <v>20</v>
      </c>
      <c r="M23" s="2">
        <f t="shared" si="0"/>
        <v>0.35151199999999999</v>
      </c>
      <c r="N23" s="2">
        <f t="shared" si="0"/>
        <v>1.0972599999999999</v>
      </c>
      <c r="O23" s="2">
        <f t="shared" si="0"/>
        <v>0</v>
      </c>
      <c r="P23" s="2">
        <f t="shared" si="0"/>
        <v>2.6492599999999999</v>
      </c>
      <c r="Q23" s="2"/>
      <c r="R23" s="2">
        <f t="shared" si="1"/>
        <v>-8.0039699999999991E-2</v>
      </c>
      <c r="S23" s="2">
        <f t="shared" si="1"/>
        <v>-1.1162E-2</v>
      </c>
      <c r="T23" s="2">
        <f t="shared" si="1"/>
        <v>0</v>
      </c>
      <c r="U23" s="2">
        <f t="shared" si="1"/>
        <v>-8.0562199999999997</v>
      </c>
      <c r="W23" s="3">
        <f t="shared" si="3"/>
        <v>3.7569848000000006</v>
      </c>
      <c r="X23" s="3">
        <f t="shared" si="3"/>
        <v>5.9754638</v>
      </c>
      <c r="Y23" s="3">
        <f t="shared" si="3"/>
        <v>-5.4673561999999993</v>
      </c>
      <c r="Z23" s="3">
        <f t="shared" si="3"/>
        <v>-11.607316200000005</v>
      </c>
    </row>
    <row r="24" spans="1:26" x14ac:dyDescent="0.35">
      <c r="A24">
        <v>21</v>
      </c>
      <c r="B24" s="1">
        <v>256668</v>
      </c>
      <c r="C24" s="1">
        <v>1009840</v>
      </c>
      <c r="E24" s="1">
        <v>2630080</v>
      </c>
      <c r="G24" s="1">
        <v>-38506.400000000001</v>
      </c>
      <c r="H24">
        <v>152247</v>
      </c>
      <c r="J24" s="1">
        <v>-7630630</v>
      </c>
      <c r="L24">
        <v>21</v>
      </c>
      <c r="M24" s="2">
        <f t="shared" si="0"/>
        <v>0.25666800000000001</v>
      </c>
      <c r="N24" s="2">
        <f t="shared" si="0"/>
        <v>1.0098400000000001</v>
      </c>
      <c r="O24" s="2">
        <f t="shared" si="0"/>
        <v>0</v>
      </c>
      <c r="P24" s="2">
        <f t="shared" si="0"/>
        <v>2.63008</v>
      </c>
      <c r="Q24" s="2"/>
      <c r="R24" s="2">
        <f t="shared" si="1"/>
        <v>-3.8506400000000003E-2</v>
      </c>
      <c r="S24" s="2">
        <f t="shared" si="1"/>
        <v>0.15224699999999999</v>
      </c>
      <c r="T24" s="2">
        <f t="shared" si="1"/>
        <v>0</v>
      </c>
      <c r="U24" s="2">
        <f t="shared" si="1"/>
        <v>-7.63063</v>
      </c>
    </row>
    <row r="25" spans="1:26" x14ac:dyDescent="0.35">
      <c r="A25">
        <v>22</v>
      </c>
      <c r="B25" s="1">
        <v>159832</v>
      </c>
      <c r="C25" s="1">
        <v>920484</v>
      </c>
      <c r="E25" s="1">
        <v>2610170</v>
      </c>
      <c r="G25" s="1">
        <v>-14791.5</v>
      </c>
      <c r="H25">
        <v>288823</v>
      </c>
      <c r="J25" s="1">
        <v>-7243350</v>
      </c>
      <c r="L25">
        <v>22</v>
      </c>
      <c r="M25" s="2">
        <f t="shared" si="0"/>
        <v>0.159832</v>
      </c>
      <c r="N25" s="2">
        <f t="shared" si="0"/>
        <v>0.92048399999999997</v>
      </c>
      <c r="O25" s="2">
        <f t="shared" si="0"/>
        <v>0</v>
      </c>
      <c r="P25" s="2">
        <f t="shared" si="0"/>
        <v>2.6101700000000001</v>
      </c>
      <c r="Q25" s="2"/>
      <c r="R25" s="2">
        <f t="shared" si="1"/>
        <v>-1.4791500000000001E-2</v>
      </c>
      <c r="S25" s="2">
        <f t="shared" si="1"/>
        <v>0.288823</v>
      </c>
      <c r="T25" s="2">
        <f t="shared" si="1"/>
        <v>0</v>
      </c>
      <c r="U25" s="2">
        <f t="shared" si="1"/>
        <v>-7.2433500000000004</v>
      </c>
    </row>
    <row r="26" spans="1:26" x14ac:dyDescent="0.35">
      <c r="A26">
        <v>23</v>
      </c>
      <c r="B26" s="1">
        <v>67113.899999999994</v>
      </c>
      <c r="C26" s="1">
        <v>835318</v>
      </c>
      <c r="E26" s="1">
        <v>2595680</v>
      </c>
      <c r="G26" s="1">
        <v>-5660.72</v>
      </c>
      <c r="H26">
        <v>402467</v>
      </c>
      <c r="J26" s="1">
        <v>-6890210</v>
      </c>
      <c r="L26">
        <v>23</v>
      </c>
      <c r="M26" s="2">
        <f t="shared" si="0"/>
        <v>6.711389999999999E-2</v>
      </c>
      <c r="N26" s="2">
        <f t="shared" si="0"/>
        <v>0.835318</v>
      </c>
      <c r="O26" s="2">
        <f t="shared" si="0"/>
        <v>0</v>
      </c>
      <c r="P26" s="2">
        <f t="shared" si="0"/>
        <v>2.5956800000000002</v>
      </c>
      <c r="Q26" s="2"/>
      <c r="R26" s="5">
        <f t="shared" si="1"/>
        <v>-5.6607200000000002E-3</v>
      </c>
      <c r="S26" s="5">
        <f t="shared" si="1"/>
        <v>0.40246700000000002</v>
      </c>
      <c r="T26" s="2">
        <f t="shared" si="1"/>
        <v>0</v>
      </c>
      <c r="U26" s="5">
        <f t="shared" si="1"/>
        <v>-6.8902099999999997</v>
      </c>
    </row>
    <row r="27" spans="1:26" x14ac:dyDescent="0.35">
      <c r="A27">
        <v>24</v>
      </c>
      <c r="B27" s="1">
        <v>-27671</v>
      </c>
      <c r="C27" s="1">
        <v>748154</v>
      </c>
      <c r="E27" s="1">
        <v>2580430</v>
      </c>
      <c r="G27" s="1">
        <v>-9112.57</v>
      </c>
      <c r="H27">
        <v>495796</v>
      </c>
      <c r="J27" s="1">
        <v>-6568310</v>
      </c>
      <c r="L27">
        <v>24</v>
      </c>
      <c r="M27" s="2">
        <f t="shared" si="0"/>
        <v>-2.7671000000000001E-2</v>
      </c>
      <c r="N27" s="2">
        <f t="shared" si="0"/>
        <v>0.74815399999999999</v>
      </c>
      <c r="O27" s="2">
        <f t="shared" si="0"/>
        <v>0</v>
      </c>
      <c r="P27" s="2">
        <f t="shared" si="0"/>
        <v>2.5804299999999998</v>
      </c>
      <c r="Q27" s="2"/>
      <c r="R27" s="2">
        <f t="shared" si="1"/>
        <v>-9.1125700000000004E-3</v>
      </c>
      <c r="S27" s="2">
        <f t="shared" si="1"/>
        <v>0.49579600000000001</v>
      </c>
      <c r="T27" s="2">
        <f t="shared" si="1"/>
        <v>0</v>
      </c>
      <c r="U27" s="2">
        <f t="shared" si="1"/>
        <v>-6.5683100000000003</v>
      </c>
    </row>
    <row r="28" spans="1:26" x14ac:dyDescent="0.35">
      <c r="A28">
        <v>25</v>
      </c>
      <c r="B28" s="1">
        <v>555286</v>
      </c>
      <c r="C28" s="1">
        <v>1338800</v>
      </c>
      <c r="E28" s="1">
        <v>3244240</v>
      </c>
      <c r="G28" s="1">
        <v>54402.9</v>
      </c>
      <c r="H28">
        <v>648933</v>
      </c>
      <c r="J28" s="1">
        <v>-6197220</v>
      </c>
      <c r="L28">
        <v>25</v>
      </c>
      <c r="M28" s="2">
        <f t="shared" si="0"/>
        <v>0.55528599999999995</v>
      </c>
      <c r="N28" s="2">
        <f t="shared" si="0"/>
        <v>1.3388</v>
      </c>
      <c r="O28" s="2">
        <f t="shared" si="0"/>
        <v>0</v>
      </c>
      <c r="P28" s="2">
        <f t="shared" si="0"/>
        <v>3.24424</v>
      </c>
      <c r="Q28" s="2"/>
      <c r="R28" s="2">
        <f t="shared" si="1"/>
        <v>5.4402900000000004E-2</v>
      </c>
      <c r="S28" s="2">
        <f t="shared" si="1"/>
        <v>0.64893299999999998</v>
      </c>
      <c r="T28" s="2">
        <f t="shared" si="1"/>
        <v>0</v>
      </c>
      <c r="U28" s="2">
        <f t="shared" si="1"/>
        <v>-6.1972199999999997</v>
      </c>
    </row>
    <row r="33" spans="2:12" x14ac:dyDescent="0.35">
      <c r="J33" t="s">
        <v>11</v>
      </c>
      <c r="K33" t="s">
        <v>13</v>
      </c>
      <c r="L33" t="s">
        <v>12</v>
      </c>
    </row>
    <row r="34" spans="2:12" x14ac:dyDescent="0.35">
      <c r="J34">
        <v>1</v>
      </c>
      <c r="K34" s="1">
        <v>-13557300</v>
      </c>
      <c r="L34" s="1">
        <v>-13557300</v>
      </c>
    </row>
    <row r="35" spans="2:12" x14ac:dyDescent="0.35">
      <c r="B35">
        <v>4.3</v>
      </c>
      <c r="C35">
        <v>2.1</v>
      </c>
      <c r="D35">
        <v>0.7</v>
      </c>
      <c r="J35">
        <v>2</v>
      </c>
      <c r="K35" s="1">
        <v>-4423200</v>
      </c>
      <c r="L35" s="1">
        <v>9961670</v>
      </c>
    </row>
    <row r="36" spans="2:12" x14ac:dyDescent="0.35">
      <c r="J36">
        <v>3</v>
      </c>
      <c r="K36" s="1">
        <v>-2528160</v>
      </c>
      <c r="L36" s="1">
        <v>2253980</v>
      </c>
    </row>
    <row r="37" spans="2:12" x14ac:dyDescent="0.35">
      <c r="C37" t="s">
        <v>14</v>
      </c>
      <c r="D37" t="s">
        <v>10</v>
      </c>
      <c r="F37" t="s">
        <v>16</v>
      </c>
      <c r="J37">
        <v>4</v>
      </c>
      <c r="K37" s="1">
        <v>-1520630</v>
      </c>
      <c r="L37" s="1">
        <v>1306930</v>
      </c>
    </row>
    <row r="38" spans="2:12" x14ac:dyDescent="0.35">
      <c r="B38">
        <v>1</v>
      </c>
      <c r="C38">
        <v>0</v>
      </c>
      <c r="D38">
        <v>0</v>
      </c>
      <c r="F38">
        <v>0</v>
      </c>
      <c r="J38">
        <v>5</v>
      </c>
      <c r="K38" s="1">
        <v>-1042570</v>
      </c>
      <c r="L38" s="1">
        <v>676313</v>
      </c>
    </row>
    <row r="39" spans="2:12" x14ac:dyDescent="0.35">
      <c r="B39">
        <f>B38+1</f>
        <v>2</v>
      </c>
      <c r="C39">
        <v>0.8</v>
      </c>
      <c r="D39">
        <f>C39</f>
        <v>0.8</v>
      </c>
      <c r="F39">
        <f>C39</f>
        <v>0.8</v>
      </c>
      <c r="J39">
        <v>6</v>
      </c>
      <c r="K39" s="1">
        <v>-703987</v>
      </c>
      <c r="L39" s="1">
        <v>522382</v>
      </c>
    </row>
    <row r="40" spans="2:12" x14ac:dyDescent="0.35">
      <c r="B40">
        <f t="shared" ref="B40:B79" si="4">B39+1</f>
        <v>3</v>
      </c>
      <c r="C40">
        <v>1.6</v>
      </c>
      <c r="D40">
        <f t="shared" ref="D40:F49" si="5">C40</f>
        <v>1.6</v>
      </c>
      <c r="F40">
        <f t="shared" ref="F40:F49" si="6">C40</f>
        <v>1.6</v>
      </c>
      <c r="J40">
        <v>7</v>
      </c>
      <c r="K40" s="1">
        <v>-702556</v>
      </c>
      <c r="L40" s="1">
        <v>2407.9699999999998</v>
      </c>
    </row>
    <row r="41" spans="2:12" x14ac:dyDescent="0.35">
      <c r="B41">
        <f t="shared" si="4"/>
        <v>4</v>
      </c>
      <c r="C41">
        <v>2.9</v>
      </c>
      <c r="D41">
        <f t="shared" si="5"/>
        <v>2.9</v>
      </c>
      <c r="F41">
        <f t="shared" si="6"/>
        <v>2.9</v>
      </c>
      <c r="J41">
        <v>8</v>
      </c>
      <c r="K41">
        <v>-987222</v>
      </c>
      <c r="L41" s="1">
        <v>-522389</v>
      </c>
    </row>
    <row r="42" spans="2:12" x14ac:dyDescent="0.35">
      <c r="B42">
        <f t="shared" si="4"/>
        <v>5</v>
      </c>
      <c r="C42">
        <v>4.2</v>
      </c>
      <c r="D42">
        <f t="shared" si="5"/>
        <v>4.2</v>
      </c>
      <c r="F42">
        <f t="shared" si="6"/>
        <v>4.2</v>
      </c>
      <c r="J42">
        <v>9</v>
      </c>
      <c r="K42" s="1">
        <v>-1332610</v>
      </c>
      <c r="L42" s="1">
        <v>-691240</v>
      </c>
    </row>
    <row r="43" spans="2:12" x14ac:dyDescent="0.35">
      <c r="B43">
        <f t="shared" si="4"/>
        <v>6</v>
      </c>
      <c r="C43">
        <v>5.6</v>
      </c>
      <c r="D43">
        <f t="shared" si="5"/>
        <v>5.6</v>
      </c>
      <c r="F43">
        <f t="shared" si="6"/>
        <v>5.6</v>
      </c>
      <c r="J43">
        <v>10</v>
      </c>
      <c r="K43" s="1">
        <v>-1729280</v>
      </c>
      <c r="L43" s="1">
        <v>-865807</v>
      </c>
    </row>
    <row r="44" spans="2:12" x14ac:dyDescent="0.35">
      <c r="B44">
        <f t="shared" si="4"/>
        <v>7</v>
      </c>
      <c r="C44">
        <v>9.1</v>
      </c>
      <c r="D44">
        <f t="shared" si="5"/>
        <v>9.1</v>
      </c>
      <c r="F44">
        <f t="shared" si="6"/>
        <v>9.1</v>
      </c>
      <c r="J44" s="1">
        <v>11</v>
      </c>
      <c r="K44" s="1">
        <v>-2168900</v>
      </c>
      <c r="L44" s="1">
        <v>-1046480</v>
      </c>
    </row>
    <row r="45" spans="2:12" x14ac:dyDescent="0.35">
      <c r="B45">
        <f t="shared" si="4"/>
        <v>8</v>
      </c>
      <c r="C45">
        <v>28</v>
      </c>
      <c r="D45">
        <f t="shared" si="5"/>
        <v>28</v>
      </c>
      <c r="F45">
        <f t="shared" si="6"/>
        <v>28</v>
      </c>
      <c r="J45" s="1">
        <v>12</v>
      </c>
      <c r="K45" s="1">
        <v>-11035600</v>
      </c>
      <c r="L45" s="1">
        <v>-23018800</v>
      </c>
    </row>
    <row r="46" spans="2:12" x14ac:dyDescent="0.35">
      <c r="B46">
        <f t="shared" si="4"/>
        <v>9</v>
      </c>
      <c r="C46">
        <v>36.799999999999997</v>
      </c>
      <c r="D46">
        <f t="shared" si="5"/>
        <v>36.799999999999997</v>
      </c>
      <c r="F46">
        <f t="shared" si="6"/>
        <v>36.799999999999997</v>
      </c>
      <c r="J46" s="1">
        <v>13</v>
      </c>
      <c r="K46" s="1">
        <v>-14594800</v>
      </c>
      <c r="L46" s="1">
        <v>-10077300</v>
      </c>
    </row>
    <row r="47" spans="2:12" x14ac:dyDescent="0.35">
      <c r="B47">
        <f t="shared" si="4"/>
        <v>10</v>
      </c>
      <c r="C47">
        <f t="shared" ref="C47:C52" si="7">C46+$B$35</f>
        <v>41.099999999999994</v>
      </c>
      <c r="D47">
        <f t="shared" si="5"/>
        <v>41.099999999999994</v>
      </c>
      <c r="F47">
        <f t="shared" si="6"/>
        <v>41.099999999999994</v>
      </c>
      <c r="J47" s="1">
        <v>14</v>
      </c>
      <c r="K47" s="1">
        <v>-13706600</v>
      </c>
      <c r="L47" s="1">
        <v>2742620</v>
      </c>
    </row>
    <row r="48" spans="2:12" x14ac:dyDescent="0.35">
      <c r="B48">
        <f t="shared" si="4"/>
        <v>11</v>
      </c>
      <c r="C48">
        <f t="shared" si="7"/>
        <v>45.399999999999991</v>
      </c>
      <c r="D48">
        <f t="shared" si="5"/>
        <v>45.399999999999991</v>
      </c>
      <c r="F48">
        <f t="shared" si="6"/>
        <v>45.399999999999991</v>
      </c>
      <c r="J48">
        <v>15</v>
      </c>
      <c r="K48" s="1">
        <v>-12894700</v>
      </c>
      <c r="L48" s="1">
        <v>2734160</v>
      </c>
    </row>
    <row r="49" spans="2:12" x14ac:dyDescent="0.35">
      <c r="B49">
        <f t="shared" si="4"/>
        <v>12</v>
      </c>
      <c r="C49">
        <f t="shared" si="7"/>
        <v>49.699999999999989</v>
      </c>
      <c r="D49">
        <f t="shared" si="5"/>
        <v>49.699999999999989</v>
      </c>
      <c r="F49">
        <f t="shared" si="6"/>
        <v>49.699999999999989</v>
      </c>
      <c r="J49">
        <v>16</v>
      </c>
      <c r="K49" s="1">
        <v>-12152700</v>
      </c>
      <c r="L49" s="1">
        <v>2725150</v>
      </c>
    </row>
    <row r="50" spans="2:12" x14ac:dyDescent="0.35">
      <c r="B50" s="7">
        <f t="shared" si="4"/>
        <v>13</v>
      </c>
      <c r="C50" s="7">
        <f>C49+$C$35</f>
        <v>51.79999999999999</v>
      </c>
      <c r="D50" s="7">
        <f>C50-20</f>
        <v>31.79999999999999</v>
      </c>
      <c r="E50" s="7"/>
      <c r="F50" s="7">
        <v>0</v>
      </c>
      <c r="G50" t="s">
        <v>17</v>
      </c>
      <c r="J50">
        <v>17</v>
      </c>
      <c r="K50" s="1">
        <v>-11477400</v>
      </c>
      <c r="L50" s="1">
        <v>2704980</v>
      </c>
    </row>
    <row r="51" spans="2:12" x14ac:dyDescent="0.35">
      <c r="B51">
        <f t="shared" si="4"/>
        <v>14</v>
      </c>
      <c r="C51">
        <f t="shared" ref="C51:C63" si="8">C50+$C$35</f>
        <v>53.899999999999991</v>
      </c>
      <c r="D51" s="6">
        <f t="shared" ref="D51:D63" si="9">C51-20</f>
        <v>33.899999999999991</v>
      </c>
      <c r="E51" s="6"/>
      <c r="F51">
        <f>D35</f>
        <v>0.7</v>
      </c>
      <c r="J51">
        <v>18</v>
      </c>
      <c r="K51" s="1">
        <v>-10862900</v>
      </c>
      <c r="L51" s="1">
        <v>2684220</v>
      </c>
    </row>
    <row r="52" spans="2:12" x14ac:dyDescent="0.35">
      <c r="B52">
        <f t="shared" si="4"/>
        <v>15</v>
      </c>
      <c r="C52">
        <f t="shared" si="8"/>
        <v>55.999999999999993</v>
      </c>
      <c r="D52" s="6">
        <f t="shared" si="9"/>
        <v>35.999999999999993</v>
      </c>
      <c r="E52" s="6"/>
      <c r="F52">
        <f>F51+$D$35</f>
        <v>1.4</v>
      </c>
      <c r="J52">
        <v>19</v>
      </c>
      <c r="K52" s="1">
        <v>-10301800</v>
      </c>
      <c r="L52" s="1">
        <v>2673250</v>
      </c>
    </row>
    <row r="53" spans="2:12" x14ac:dyDescent="0.35">
      <c r="B53">
        <f t="shared" si="4"/>
        <v>16</v>
      </c>
      <c r="C53">
        <f t="shared" si="8"/>
        <v>58.099999999999994</v>
      </c>
      <c r="D53" s="6">
        <f t="shared" si="9"/>
        <v>38.099999999999994</v>
      </c>
      <c r="E53" s="6"/>
      <c r="F53">
        <f>F52+$D$35</f>
        <v>2.0999999999999996</v>
      </c>
      <c r="J53">
        <v>20</v>
      </c>
      <c r="K53" s="1">
        <v>-9789500</v>
      </c>
      <c r="L53" s="1">
        <v>2661600</v>
      </c>
    </row>
    <row r="54" spans="2:12" x14ac:dyDescent="0.35">
      <c r="B54">
        <f t="shared" si="4"/>
        <v>17</v>
      </c>
      <c r="C54">
        <f t="shared" si="8"/>
        <v>60.199999999999996</v>
      </c>
      <c r="D54" s="6">
        <f t="shared" si="9"/>
        <v>40.199999999999996</v>
      </c>
      <c r="E54" s="6"/>
      <c r="F54">
        <f>F53+$D$35</f>
        <v>2.8</v>
      </c>
      <c r="J54" s="1">
        <v>21</v>
      </c>
      <c r="K54" s="1">
        <v>-9321960</v>
      </c>
      <c r="L54" s="1">
        <v>2649260</v>
      </c>
    </row>
    <row r="55" spans="2:12" x14ac:dyDescent="0.35">
      <c r="B55">
        <f t="shared" si="4"/>
        <v>18</v>
      </c>
      <c r="C55">
        <f t="shared" si="8"/>
        <v>62.3</v>
      </c>
      <c r="D55" s="6">
        <f t="shared" si="9"/>
        <v>42.3</v>
      </c>
      <c r="E55" s="6"/>
      <c r="F55">
        <f>F54+$D$35</f>
        <v>3.5</v>
      </c>
      <c r="J55" s="1">
        <v>22</v>
      </c>
      <c r="K55" s="1">
        <v>-8896370</v>
      </c>
      <c r="L55" s="1">
        <v>2630080</v>
      </c>
    </row>
    <row r="56" spans="2:12" x14ac:dyDescent="0.35">
      <c r="B56">
        <f t="shared" si="4"/>
        <v>19</v>
      </c>
      <c r="C56">
        <f t="shared" si="8"/>
        <v>64.399999999999991</v>
      </c>
      <c r="D56" s="6">
        <f t="shared" si="9"/>
        <v>44.399999999999991</v>
      </c>
      <c r="E56" s="6"/>
      <c r="F56">
        <f>F55+$D$35</f>
        <v>4.2</v>
      </c>
      <c r="J56">
        <v>23</v>
      </c>
      <c r="K56" s="1">
        <v>-8509080</v>
      </c>
      <c r="L56" s="1">
        <v>2610170</v>
      </c>
    </row>
    <row r="57" spans="2:12" x14ac:dyDescent="0.35">
      <c r="B57">
        <f t="shared" si="4"/>
        <v>20</v>
      </c>
      <c r="C57">
        <f t="shared" si="8"/>
        <v>66.499999999999986</v>
      </c>
      <c r="D57" s="6">
        <f t="shared" si="9"/>
        <v>46.499999999999986</v>
      </c>
      <c r="E57" s="6"/>
      <c r="F57">
        <f>F56+$D$35</f>
        <v>4.9000000000000004</v>
      </c>
      <c r="J57" s="1">
        <v>24</v>
      </c>
      <c r="K57" s="1">
        <v>-8155950</v>
      </c>
      <c r="L57" s="1">
        <v>2595680</v>
      </c>
    </row>
    <row r="58" spans="2:12" x14ac:dyDescent="0.35">
      <c r="B58">
        <f t="shared" si="4"/>
        <v>21</v>
      </c>
      <c r="C58">
        <f t="shared" si="8"/>
        <v>68.59999999999998</v>
      </c>
      <c r="D58" s="6">
        <f t="shared" si="9"/>
        <v>48.59999999999998</v>
      </c>
      <c r="E58" s="6"/>
      <c r="F58">
        <f>F57+$D$35</f>
        <v>5.6000000000000005</v>
      </c>
      <c r="J58" s="1">
        <v>25</v>
      </c>
      <c r="K58" s="1">
        <v>-7834050</v>
      </c>
      <c r="L58" s="1">
        <v>2580430</v>
      </c>
    </row>
    <row r="59" spans="2:12" x14ac:dyDescent="0.35">
      <c r="B59">
        <f t="shared" si="4"/>
        <v>22</v>
      </c>
      <c r="C59">
        <f t="shared" si="8"/>
        <v>70.699999999999974</v>
      </c>
      <c r="D59" s="6">
        <f t="shared" si="9"/>
        <v>50.699999999999974</v>
      </c>
      <c r="E59" s="6"/>
      <c r="F59">
        <f>F58+$D$35</f>
        <v>6.3000000000000007</v>
      </c>
      <c r="J59" s="1">
        <v>26</v>
      </c>
      <c r="K59" s="1">
        <v>-7462960</v>
      </c>
      <c r="L59" s="1">
        <v>3244240</v>
      </c>
    </row>
    <row r="60" spans="2:12" x14ac:dyDescent="0.35">
      <c r="B60">
        <f t="shared" si="4"/>
        <v>23</v>
      </c>
      <c r="C60">
        <f t="shared" si="8"/>
        <v>72.799999999999969</v>
      </c>
      <c r="D60" s="6">
        <f t="shared" si="9"/>
        <v>52.799999999999969</v>
      </c>
      <c r="E60" s="6"/>
      <c r="F60">
        <f>F59+$D$35</f>
        <v>7.0000000000000009</v>
      </c>
      <c r="J60" s="1"/>
      <c r="K60" s="1"/>
    </row>
    <row r="61" spans="2:12" x14ac:dyDescent="0.35">
      <c r="B61">
        <f t="shared" si="4"/>
        <v>24</v>
      </c>
      <c r="C61">
        <f t="shared" si="8"/>
        <v>74.899999999999963</v>
      </c>
      <c r="D61" s="6">
        <f t="shared" si="9"/>
        <v>54.899999999999963</v>
      </c>
      <c r="E61" s="6"/>
      <c r="F61">
        <f>F60+$D$35</f>
        <v>7.7000000000000011</v>
      </c>
      <c r="J61" s="1"/>
      <c r="K61" s="1"/>
    </row>
    <row r="62" spans="2:12" x14ac:dyDescent="0.35">
      <c r="B62">
        <f t="shared" si="4"/>
        <v>25</v>
      </c>
      <c r="C62">
        <f t="shared" si="8"/>
        <v>76.999999999999957</v>
      </c>
      <c r="D62" s="6">
        <f t="shared" si="9"/>
        <v>56.999999999999957</v>
      </c>
      <c r="E62" s="6"/>
      <c r="F62">
        <f>F61+$D$35</f>
        <v>8.4</v>
      </c>
      <c r="J62" s="1"/>
      <c r="K62" s="1"/>
    </row>
    <row r="63" spans="2:12" x14ac:dyDescent="0.35">
      <c r="B63">
        <f t="shared" si="4"/>
        <v>26</v>
      </c>
      <c r="C63">
        <f t="shared" si="8"/>
        <v>79.099999999999952</v>
      </c>
      <c r="D63" s="6">
        <f t="shared" si="9"/>
        <v>59.099999999999952</v>
      </c>
      <c r="E63" s="6"/>
      <c r="F63">
        <f>F62+$D$35</f>
        <v>9.1</v>
      </c>
      <c r="J63" s="1"/>
    </row>
    <row r="64" spans="2:12" x14ac:dyDescent="0.35">
      <c r="B64">
        <f t="shared" si="4"/>
        <v>27</v>
      </c>
      <c r="F64">
        <f>F63+$D$35</f>
        <v>9.7999999999999989</v>
      </c>
      <c r="J64" s="1"/>
    </row>
    <row r="65" spans="2:11" x14ac:dyDescent="0.35">
      <c r="B65">
        <f t="shared" si="4"/>
        <v>28</v>
      </c>
      <c r="F65">
        <f>F64+$D$35</f>
        <v>10.499999999999998</v>
      </c>
      <c r="J65" s="1"/>
    </row>
    <row r="66" spans="2:11" x14ac:dyDescent="0.35">
      <c r="B66">
        <f t="shared" si="4"/>
        <v>29</v>
      </c>
      <c r="F66">
        <f>F65+$D$35</f>
        <v>11.199999999999998</v>
      </c>
      <c r="J66" s="1"/>
    </row>
    <row r="67" spans="2:11" x14ac:dyDescent="0.35">
      <c r="B67">
        <f t="shared" si="4"/>
        <v>30</v>
      </c>
      <c r="F67">
        <f>F66+$D$35</f>
        <v>11.899999999999997</v>
      </c>
      <c r="J67" s="1"/>
      <c r="K67" s="1"/>
    </row>
    <row r="68" spans="2:11" x14ac:dyDescent="0.35">
      <c r="B68">
        <f t="shared" si="4"/>
        <v>31</v>
      </c>
      <c r="F68">
        <f>F67+$D$35</f>
        <v>12.599999999999996</v>
      </c>
      <c r="J68" s="1"/>
      <c r="K68" s="1"/>
    </row>
    <row r="69" spans="2:11" x14ac:dyDescent="0.35">
      <c r="J69" s="1"/>
      <c r="K69" s="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8E4FEB44D0B4CB1AD2E9A3A83F076" ma:contentTypeVersion="14" ma:contentTypeDescription="Create a new document." ma:contentTypeScope="" ma:versionID="c1d34d9b8e131c103df8a093e310b027">
  <xsd:schema xmlns:xsd="http://www.w3.org/2001/XMLSchema" xmlns:xs="http://www.w3.org/2001/XMLSchema" xmlns:p="http://schemas.microsoft.com/office/2006/metadata/properties" xmlns:ns2="8baa01ab-7cf8-4360-9f3f-f87b1ec95c26" xmlns:ns3="d481fc2a-e230-47f7-a716-4f7f4b27a8e6" targetNamespace="http://schemas.microsoft.com/office/2006/metadata/properties" ma:root="true" ma:fieldsID="c44e149c0724d485dcb6f09127e30ffd" ns2:_="" ns3:_="">
    <xsd:import namespace="8baa01ab-7cf8-4360-9f3f-f87b1ec95c26"/>
    <xsd:import namespace="d481fc2a-e230-47f7-a716-4f7f4b27a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a01ab-7cf8-4360-9f3f-f87b1ec95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1fc2a-e230-47f7-a716-4f7f4b27a8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cfc5ee6-7d58-48d6-9bdd-8a371e73af6e}" ma:internalName="TaxCatchAll" ma:showField="CatchAllData" ma:web="d481fc2a-e230-47f7-a716-4f7f4b27a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a01ab-7cf8-4360-9f3f-f87b1ec95c26">
      <Terms xmlns="http://schemas.microsoft.com/office/infopath/2007/PartnerControls"/>
    </lcf76f155ced4ddcb4097134ff3c332f>
    <TaxCatchAll xmlns="d481fc2a-e230-47f7-a716-4f7f4b27a8e6" xsi:nil="true"/>
  </documentManagement>
</p:properties>
</file>

<file path=customXml/itemProps1.xml><?xml version="1.0" encoding="utf-8"?>
<ds:datastoreItem xmlns:ds="http://schemas.openxmlformats.org/officeDocument/2006/customXml" ds:itemID="{F33A64FD-BD8E-4A10-881A-543F22FB0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a01ab-7cf8-4360-9f3f-f87b1ec95c26"/>
    <ds:schemaRef ds:uri="d481fc2a-e230-47f7-a716-4f7f4b27a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2C9E99-917F-4BDF-B9E4-ADA5D0AFF1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82D478-F143-4E1A-BE03-DF93E0476218}">
  <ds:schemaRefs>
    <ds:schemaRef ds:uri="http://schemas.microsoft.com/office/2006/metadata/properties"/>
    <ds:schemaRef ds:uri="http://schemas.microsoft.com/office/infopath/2007/PartnerControls"/>
    <ds:schemaRef ds:uri="8baa01ab-7cf8-4360-9f3f-f87b1ec95c26"/>
    <ds:schemaRef ds:uri="d481fc2a-e230-47f7-a716-4f7f4b27a8e6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Simon</vt:lpstr>
      <vt:lpstr>Simon_cdeline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Prilliman, Matthew</dc:creator>
  <cp:lastModifiedBy>Deline, Chris</cp:lastModifiedBy>
  <dcterms:created xsi:type="dcterms:W3CDTF">2025-12-19T17:47:41Z</dcterms:created>
  <dcterms:modified xsi:type="dcterms:W3CDTF">2026-09-04T20:12:29Z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0x010100A788E4FEB44D0B4CB1AD2E9A3A83F076</vt:lpwstr>
  </property>
  <property fmtid="{D5CDD505-2E9C-101B-9397-08002B2CF9AE}" pid="3" name="MediaServiceImageTags">
    <vt:lpwstr/>
  </property>
</Properties>
</file>